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Gemeinden" sheetId="1" state="visible" r:id="rId3"/>
    <sheet name="Wirtschaftlichkeit" sheetId="2" state="visible" r:id="rId4"/>
    <sheet name="Kennwerte" sheetId="3" state="visible" r:id="rId5"/>
    <sheet name="Methodik" sheetId="4" state="visible" r:id="rId6"/>
    <sheet name="Ortsdurchfahrten" sheetId="5" state="visible" r:id="rId7"/>
    <sheet name="Buslinien" sheetId="6" state="visible" r:id="rId8"/>
    <sheet name="Abschnitte" sheetId="7" state="visible" r:id="rId9"/>
    <sheet name="Gemeinde-KNV"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<sst xmlns="http://schemas.openxmlformats.org/spreadsheetml/2006/main" count="1049" uniqueCount="434">
  <si>
    <t xml:space="preserve">Betroffene Kantonsstrassen und Unfallgeschehen pro Gemeinde – Kanton Schaffhausen</t>
  </si>
  <si>
    <t xml:space="preserve">Verkehrsorientierte Kantonsstrassen innerorts (Näherung: Kantonsstrassen ohne Nationalstrassen innerhalb Baugebiet). Unfälle mit Personenschaden auf Kantonsstrassen innerorts, 2011 bis 2025 (15 Jahre). Quellen und Methodik siehe Blatt «Methodik».</t>
  </si>
  <si>
    <t xml:space="preserve">Zeitraum (Jahre)</t>
  </si>
  <si>
    <t xml:space="preserve">Gemeinde</t>
  </si>
  <si>
    <t xml:space="preserve">Kantonsstrassen
innerorts (km)</t>
  </si>
  <si>
    <t xml:space="preserve">Kantonsstrassen-
netz total (km)</t>
  </si>
  <si>
    <t xml:space="preserve">Anteil
innerorts</t>
  </si>
  <si>
    <t xml:space="preserve">Unfälle total
(Personenschaden)</t>
  </si>
  <si>
    <t xml:space="preserve">mit
Getöteten</t>
  </si>
  <si>
    <t xml:space="preserve">mit Schwer-
verletzten</t>
  </si>
  <si>
    <t xml:space="preserve">mit Leicht-
verletzten</t>
  </si>
  <si>
    <t xml:space="preserve">mit Fussgänger-
beteiligung</t>
  </si>
  <si>
    <t xml:space="preserve">mit Velo-
beteiligung</t>
  </si>
  <si>
    <t xml:space="preserve">Unfälle pro
km u. Jahr</t>
  </si>
  <si>
    <t xml:space="preserve">Schaffhausen</t>
  </si>
  <si>
    <t xml:space="preserve">Thayngen</t>
  </si>
  <si>
    <t xml:space="preserve">Neuhausen am Rheinfall</t>
  </si>
  <si>
    <t xml:space="preserve">Stein am Rhein</t>
  </si>
  <si>
    <t xml:space="preserve">Wilchingen</t>
  </si>
  <si>
    <t xml:space="preserve">Schleitheim</t>
  </si>
  <si>
    <t xml:space="preserve">Neunkirch</t>
  </si>
  <si>
    <t xml:space="preserve">Hallau</t>
  </si>
  <si>
    <t xml:space="preserve">Ramsen</t>
  </si>
  <si>
    <t xml:space="preserve">Beringen</t>
  </si>
  <si>
    <t xml:space="preserve">Dörflingen</t>
  </si>
  <si>
    <t xml:space="preserve">Stetten (SH)</t>
  </si>
  <si>
    <t xml:space="preserve">Buch (SH)</t>
  </si>
  <si>
    <t xml:space="preserve">Hemishofen</t>
  </si>
  <si>
    <t xml:space="preserve">Beggingen</t>
  </si>
  <si>
    <t xml:space="preserve">Lohn (SH)</t>
  </si>
  <si>
    <t xml:space="preserve">Rüdlingen</t>
  </si>
  <si>
    <t xml:space="preserve">Siblingen</t>
  </si>
  <si>
    <t xml:space="preserve">Trasadingen</t>
  </si>
  <si>
    <t xml:space="preserve">Bargen (SH)</t>
  </si>
  <si>
    <t xml:space="preserve">Löhningen</t>
  </si>
  <si>
    <t xml:space="preserve">Merishausen</t>
  </si>
  <si>
    <t xml:space="preserve">Oberhallau</t>
  </si>
  <si>
    <t xml:space="preserve">Gächlingen</t>
  </si>
  <si>
    <t xml:space="preserve">Buchberg</t>
  </si>
  <si>
    <t xml:space="preserve">Büttenhardt</t>
  </si>
  <si>
    <t xml:space="preserve">TOTAL Kanton</t>
  </si>
  <si>
    <t xml:space="preserve">Quellen: Kantonsstrassen und Funktion, Nutzungsplanung Baugebiet: Amt für Geoinformation Kanton Schaffhausen (geo.sh.ch, WFS). Unfälle: ASTRA, Strassenverkehrsunfälle mit Personenschaden (data.geo.admin.ch, ch.astra.unfaelle-personenschaeden_alle), 2011–2025.</t>
  </si>
  <si>
    <t xml:space="preserve">Wirtschaftlichkeitsabschätzung einer Temporeduktion (illustratives Szenario)</t>
  </si>
  <si>
    <t xml:space="preserve">Gegenüberstellung der jährlichen Zeitkosten (längere Fahrzeit) mit den Nutzen (Unfallkostenersparnis und annualisierte Aufwertung der lärmbelasteten Liegenschaften), falls auf den betroffenen Kantonsstrassen innerorts Tempo 30 statt 50 gälte. Nicht monetäre Effekte sind nicht enthalten. Blaue Werte sind editierbare Annahmen.</t>
  </si>
  <si>
    <t xml:space="preserve">Parameter (blau = editierbar)</t>
  </si>
  <si>
    <t xml:space="preserve">Zeitkostensatz (VTTS)</t>
  </si>
  <si>
    <t xml:space="preserve">CHF je Fahrzeugstunde (ARE/VSS)</t>
  </si>
  <si>
    <t xml:space="preserve">Zusatzzeit empirisch</t>
  </si>
  <si>
    <t xml:space="preserve">Sekunden je km (ASTRA FB 1663)</t>
  </si>
  <si>
    <t xml:space="preserve">Zusatzzeit theoretisch</t>
  </si>
  <si>
    <t xml:space="preserve">Sekunden je km (50 auf 30, kinematisch)</t>
  </si>
  <si>
    <t xml:space="preserve">Tage pro Jahr</t>
  </si>
  <si>
    <t xml:space="preserve">Kosten je Getöteter</t>
  </si>
  <si>
    <t xml:space="preserve">CHF (bfu/Ecoplan, Basis 2003)</t>
  </si>
  <si>
    <t xml:space="preserve">Kosten je Schwerverletzter</t>
  </si>
  <si>
    <t xml:space="preserve">CHF</t>
  </si>
  <si>
    <t xml:space="preserve">Kosten je Leichtverletzter</t>
  </si>
  <si>
    <t xml:space="preserve">Unfallreduktion durch Tempo 30</t>
  </si>
  <si>
    <t xml:space="preserve">Anteil (Szenario)</t>
  </si>
  <si>
    <t xml:space="preserve">Auswertungszeitraum Unfälle</t>
  </si>
  <si>
    <t xml:space="preserve">Jahre</t>
  </si>
  <si>
    <t xml:space="preserve">Anteil Netz mit Tempo 30</t>
  </si>
  <si>
    <t xml:space="preserve">Anteil (Szenario: 100% = ganzes betroffenes Netz)</t>
  </si>
  <si>
    <t xml:space="preserve">Wert je belastete Fassade</t>
  </si>
  <si>
    <t xml:space="preserve">CHF (Annahme, editierbar)</t>
  </si>
  <si>
    <t xml:space="preserve">Wertminderung je dB (NSDI)</t>
  </si>
  <si>
    <t xml:space="preserve">Anteil je dB (ZKB/Baranzini)</t>
  </si>
  <si>
    <t xml:space="preserve">dB-Reduktion durch Tempo 30</t>
  </si>
  <si>
    <t xml:space="preserve">dB(A) (BAFU)</t>
  </si>
  <si>
    <t xml:space="preserve">Kapitalisierungssatz</t>
  </si>
  <si>
    <t xml:space="preserve">zur Annualisierung der Wertsteigerung</t>
  </si>
  <si>
    <t xml:space="preserve">km
innerorts</t>
  </si>
  <si>
    <t xml:space="preserve">Fahrleistung
(Fz-km/Tag)</t>
  </si>
  <si>
    <t xml:space="preserve">Zeitkosten
CHF/Jahr</t>
  </si>
  <si>
    <t xml:space="preserve">Getö-
tete</t>
  </si>
  <si>
    <t xml:space="preserve">Schwer</t>
  </si>
  <si>
    <t xml:space="preserve">Leicht</t>
  </si>
  <si>
    <t xml:space="preserve">Unfallk.-
Basis CHF/J</t>
  </si>
  <si>
    <t xml:space="preserve">Unfall-Ersp.
CHF/Jahr</t>
  </si>
  <si>
    <t xml:space="preserve">Fassaden
&gt; IGW</t>
  </si>
  <si>
    <t xml:space="preserve">Aufwertung
CHF/Jahr</t>
  </si>
  <si>
    <t xml:space="preserve">Netto
CHF/Jahr</t>
  </si>
  <si>
    <t xml:space="preserve">Szenario-Ergebnis (bei den obigen Annahmen)</t>
  </si>
  <si>
    <t xml:space="preserve">Zeitkosten empirisch (20 s/km), ganzes betroffenes Netz</t>
  </si>
  <si>
    <t xml:space="preserve">Zeitkosten theoretisch (48 s/km)</t>
  </si>
  <si>
    <t xml:space="preserve">Nutzen: Unfallkostenersparnis</t>
  </si>
  <si>
    <t xml:space="preserve">Nutzen: Aufwertung/Lärm annualisiert</t>
  </si>
  <si>
    <t xml:space="preserve">Nutzen total</t>
  </si>
  <si>
    <t xml:space="preserve">Netto (Nutzen minus Zeitkosten empirisch)</t>
  </si>
  <si>
    <t xml:space="preserve">nachrichtlich: einmalige Wertsteigerung (nicht annualisiert)</t>
  </si>
  <si>
    <t xml:space="preserve">Lesehilfe: Ein negatives Netto bedeutet, dass die monetarisierten Zeitkosten die monetarisierten Nutzen übersteigen. Der Wert gilt für das Extremszenario «ganzes Netz auf Tempo 30» und hängt stark von den Annahmen ab.</t>
  </si>
  <si>
    <t xml:space="preserve">Pro Fahrt ist der Zeitverlust klein (rund 2 Sekunden pro 100 m). Die grosse Gesamtsumme entsteht durch Multiplikation mit der gesamten Verkehrsleistung und 365 Tagen.</t>
  </si>
  <si>
    <t xml:space="preserve">Realistisch werden Temporeduktionen gezielt auf einzelnen, stark belasteten Abschnitten angewendet. «Anteil Netz mit Tempo 30» tiefer setzen: Zeitkosten sinken proportional, Nutzen bleiben dort konzentriert (Unfälle und Lärm häufen sich in wenigen Gemeinden).</t>
  </si>
  <si>
    <t xml:space="preserve">Nicht enthalten: nicht monetäre Effekte wie Wohn- und Aufenthaltsqualität, Ortsbild und subjektive Sicherheit (Nutzen) sowie die öV-Fahrplanstabilität auf langen Abschnitten (Gegenposten).</t>
  </si>
  <si>
    <t xml:space="preserve">Quellen: Fahrleistung aus DTV (geo.sh.ch, 2024/25); Zeitwert ARE/VSS; Unfallkosten bfu/Ecoplan; Reisezeitwirkung ASTRA FB 1663; Lärmexposition Lärmbelastungskataster SH; NSDI ZKB/Baranzini; dB-Wirkung BAFU.</t>
  </si>
  <si>
    <t xml:space="preserve">Kennwerte für die Wirtschaftlichkeitsanalyse (mit Quellen)</t>
  </si>
  <si>
    <t xml:space="preserve">Grösse</t>
  </si>
  <si>
    <t xml:space="preserve">Wert</t>
  </si>
  <si>
    <t xml:space="preserve">Einheit</t>
  </si>
  <si>
    <t xml:space="preserve">Jahr</t>
  </si>
  <si>
    <t xml:space="preserve">Quelle</t>
  </si>
  <si>
    <t xml:space="preserve">— Zeitkosten (Kostenseite) —</t>
  </si>
  <si>
    <t xml:space="preserve">Wert der Reisezeit, Personenwagen</t>
  </si>
  <si>
    <t xml:space="preserve">42.50</t>
  </si>
  <si>
    <t xml:space="preserve">CHF/Fahrzeugstunde</t>
  </si>
  <si>
    <t xml:space="preserve">2019</t>
  </si>
  <si>
    <t xml:space="preserve">ARE, KÜTI 2021 (VSS SN 641 822a)</t>
  </si>
  <si>
    <t xml:space="preserve">Wert der Reisezeit, Lieferwagen</t>
  </si>
  <si>
    <t xml:space="preserve">40.00</t>
  </si>
  <si>
    <t xml:space="preserve">ARE, KÜTI 2021</t>
  </si>
  <si>
    <t xml:space="preserve">Wert der Reisezeit, schwere Güterfahrzeuge</t>
  </si>
  <si>
    <t xml:space="preserve">68.20</t>
  </si>
  <si>
    <t xml:space="preserve">Mittlerer Besetzungsgrad Personenwagen</t>
  </si>
  <si>
    <t xml:space="preserve">1.53</t>
  </si>
  <si>
    <t xml:space="preserve">Personen/Fahrzeug</t>
  </si>
  <si>
    <t xml:space="preserve">2021</t>
  </si>
  <si>
    <t xml:space="preserve">BFS, Mikrozensus Mobilität</t>
  </si>
  <si>
    <t xml:space="preserve">Realistische Reisezeitzunahme 50 auf 30</t>
  </si>
  <si>
    <t xml:space="preserve">2</t>
  </si>
  <si>
    <t xml:space="preserve">Sekunden/100 m</t>
  </si>
  <si>
    <t xml:space="preserve">ASTRA, Forschungsbericht 1663</t>
  </si>
  <si>
    <t xml:space="preserve">Einfluss Tempo 30 auf Leistungsfähigkeit</t>
  </si>
  <si>
    <t xml:space="preserve">in der Regel nicht nennenswert</t>
  </si>
  <si>
    <t xml:space="preserve">2019/2023</t>
  </si>
  <si>
    <t xml:space="preserve">ASTRA FB 1663; bfu</t>
  </si>
  <si>
    <t xml:space="preserve">— Unfallkosten (Nutzenseite) —</t>
  </si>
  <si>
    <t xml:space="preserve">Volkswirtschaftliche Unfallkosten Strassenverkehr CH</t>
  </si>
  <si>
    <t xml:space="preserve">4000</t>
  </si>
  <si>
    <t xml:space="preserve">Mio. CHF/Jahr</t>
  </si>
  <si>
    <t xml:space="preserve">2023</t>
  </si>
  <si>
    <t xml:space="preserve">bfu, Jahresbericht 2024</t>
  </si>
  <si>
    <t xml:space="preserve">3.17</t>
  </si>
  <si>
    <t xml:space="preserve">Mio. CHF (Preisbasis 2003)</t>
  </si>
  <si>
    <t xml:space="preserve">2003</t>
  </si>
  <si>
    <t xml:space="preserve">bfu/Ecoplan</t>
  </si>
  <si>
    <t xml:space="preserve">0.53</t>
  </si>
  <si>
    <t xml:space="preserve">33000</t>
  </si>
  <si>
    <t xml:space="preserve">CHF (Preisbasis 2003)</t>
  </si>
  <si>
    <t xml:space="preserve">Anhalteweg trocken 50 / 30</t>
  </si>
  <si>
    <t xml:space="preserve">40 / 20</t>
  </si>
  <si>
    <t xml:space="preserve">Meter</t>
  </si>
  <si>
    <t xml:space="preserve">bfu, Fakten Tempo 30</t>
  </si>
  <si>
    <t xml:space="preserve">Tödlichkeitsrisiko Fussgänger 50 gegenüber 30</t>
  </si>
  <si>
    <t xml:space="preserve">6</t>
  </si>
  <si>
    <t xml:space="preserve">-fach höher bei 50</t>
  </si>
  <si>
    <t xml:space="preserve">— Lärm und Liegenschaftswerte (Nutzenseite) —</t>
  </si>
  <si>
    <t xml:space="preserve">Lärmwirkung Tempo 30 statt 50 (konv. Belag)</t>
  </si>
  <si>
    <t xml:space="preserve">~3</t>
  </si>
  <si>
    <t xml:space="preserve">dB(A)</t>
  </si>
  <si>
    <t xml:space="preserve">2025</t>
  </si>
  <si>
    <t xml:space="preserve">BAFU</t>
  </si>
  <si>
    <t xml:space="preserve">Lärmarmer Belag (neu / Lebensende)</t>
  </si>
  <si>
    <t xml:space="preserve">6–8 / ~3</t>
  </si>
  <si>
    <t xml:space="preserve">Wertminderung je dB(A) Strassenlärm (NSDI)</t>
  </si>
  <si>
    <t xml:space="preserve">0.2–0.7</t>
  </si>
  <si>
    <t xml:space="preserve">%/dB(A) (Mieten)</t>
  </si>
  <si>
    <t xml:space="preserve">—</t>
  </si>
  <si>
    <t xml:space="preserve">ZKB; Baranzini/Ramirez 2005</t>
  </si>
  <si>
    <t xml:space="preserve">Externe Lärmkosten Strassenverkehr CH</t>
  </si>
  <si>
    <t xml:space="preserve">3000</t>
  </si>
  <si>
    <t xml:space="preserve">BAFU 2025</t>
  </si>
  <si>
    <t xml:space="preserve">— Rahmen: externe Kosten —</t>
  </si>
  <si>
    <t xml:space="preserve">Externe Kosten MIV Strasse CH</t>
  </si>
  <si>
    <t xml:space="preserve">17800</t>
  </si>
  <si>
    <t xml:space="preserve">ARE, Externe Effekte 2023</t>
  </si>
  <si>
    <t xml:space="preserve">— Strassenbreiten VSS (für Grafiken), Meter —</t>
  </si>
  <si>
    <t xml:space="preserve">Begegnung Personenwagen/Personenwagen (T30)</t>
  </si>
  <si>
    <t xml:space="preserve">4.6–5.0</t>
  </si>
  <si>
    <t xml:space="preserve">m Fahrbahn</t>
  </si>
  <si>
    <t xml:space="preserve">VSS (Planungswerte)</t>
  </si>
  <si>
    <t xml:space="preserve">Begegnung Personenwagen/Lastwagen (T50)</t>
  </si>
  <si>
    <t xml:space="preserve">6.40</t>
  </si>
  <si>
    <t xml:space="preserve">m lichte Breite</t>
  </si>
  <si>
    <t xml:space="preserve">VSS SN 640 201</t>
  </si>
  <si>
    <t xml:space="preserve">Begegnung Lastwagen/Lastwagen (T50)</t>
  </si>
  <si>
    <t xml:space="preserve">6.70</t>
  </si>
  <si>
    <t xml:space="preserve">Trottoir Standard (Kreuzen zweier Personen)</t>
  </si>
  <si>
    <t xml:space="preserve">2.00</t>
  </si>
  <si>
    <t xml:space="preserve">m</t>
  </si>
  <si>
    <t xml:space="preserve">VSS SN 640 070</t>
  </si>
  <si>
    <t xml:space="preserve">Radstreifen Standard</t>
  </si>
  <si>
    <t xml:space="preserve">1.80</t>
  </si>
  <si>
    <t xml:space="preserve">VSS / kantonale Handbücher</t>
  </si>
  <si>
    <t xml:space="preserve">Methodik und Datenquellen</t>
  </si>
  <si>
    <t xml:space="preserve">Fragestellung</t>
  </si>
  <si>
    <t xml:space="preserve">Ermittlung der von der Verkehrsflussinitiative betroffenen Kantonsstrassen (verkehrsorientierte Kantonsstrassen innerorts) je Gemeinde, sowie des Unfallgeschehens auf diesen Strassen als Grundlage für die Wirtschaftlichkeitsanalyse.</t>
  </si>
  <si>
    <t xml:space="preserve">Definition «betroffene Strassen»</t>
  </si>
  <si>
    <t xml:space="preserve">Kantonsstrassen der Funktionsklassen überlokal, regional und überregional (ohne Nationalstrassen) innerhalb des Baugebiets. Dies ist eine transparente Näherung für «verkehrsorientierte Kantonsstrassen innerorts»: Siedlungsorientierte Strassen sind in der Regel Gemeindestrassen und keine Kantonsstrassen, weshalb Kantonsstrassen innerorts weit überwiegend verkehrsorientiert sind.</t>
  </si>
  <si>
    <t xml:space="preserve">Innerorts-Abgrenzung</t>
  </si>
  <si>
    <t xml:space="preserve">Als Innerorts-Fläche dient das rechtsgültige Baugebiet der Nutzungsplanung (geo.sh.ch). Dies ist nicht exakt identisch mit der signalisierten Innerorts-Strecke zwischen den Ortstafeln; auf Wunsch kann die Abgrenzung mit dem Layer der Ortstafeln verfeinert werden.</t>
  </si>
  <si>
    <t xml:space="preserve">Längenberechnung</t>
  </si>
  <si>
    <t xml:space="preserve">Geometrielänge der Strassenachsen im Bezugssystem LV95 (EPSG:2056), verschnitten mit dem Baugebiet. Werte in Kilometer.</t>
  </si>
  <si>
    <t xml:space="preserve">Unfalldaten</t>
  </si>
  <si>
    <t xml:space="preserve">ASTRA, Strassenverkehrsunfälle mit Personenschaden (Kanton Schaffhausen), Unfalljahre 2011 bis 2025. Zuordnung zu einer Kantonsstrasse innerorts, wenn der Unfallort innerhalb des Baugebiets und höchstens 25 m von einer Kantonsstrasse (ohne Nationalstrasse) entfernt liegt. Die Gemeinde wird aus dem Baugebiet-Polygon bestimmt. Die Kategorie (Getötete/Schwer-/Leichtverletzte) bezeichnet die schwerste Unfallfolge je Unfall, nicht die Anzahl verunfallter Personen.</t>
  </si>
  <si>
    <t xml:space="preserve">Datenquellen (offene Geodaten)</t>
  </si>
  <si>
    <t xml:space="preserve">• Amt für Geoinformation Kanton Schaffhausen, WFS geo.sh.ch: Strassenrichtplan kantonale Strassen (Funktion), Nutzungsplanung Baugebiet.</t>
  </si>
  <si>
    <t xml:space="preserve">• Bundesamt für Strassen ASTRA via data.geo.admin.ch: ch.astra.unfaelle-personenschaeden_alle (2011–2025), Format CSV LV95.</t>
  </si>
  <si>
    <t xml:space="preserve">• Weitere Kennwerte und Quellen siehe Blatt «Kennwerte».</t>
  </si>
  <si>
    <t xml:space="preserve">Hinweise und Vorbehalte</t>
  </si>
  <si>
    <t xml:space="preserve">Es handelt sich um Näherungswerte für die politische Diskussion, nicht um eine amtliche Statistik. Kleinere Gemeinden mit geringer Streckenlänge weisen statistisch wenig belastbare Unfallraten aus. Rundungsdifferenzen möglich.</t>
  </si>
  <si>
    <t xml:space="preserve">Stand: 24. Juli 2026. Auswertungszeitraum Unfälle: 2011 bis 2025 (15 Jahre).</t>
  </si>
  <si>
    <t xml:space="preserve">Analyse aller Ortsdurchfahrten (Kantonsstrassen innerorts)</t>
  </si>
  <si>
    <t xml:space="preserve">Fahrbahnbreite aus swissTLM3D (geo.admin.ch); Verkehr, Unfälle und Lärm wie Blatt «Gemeinden»/«Methodik». Ein Ortsteil je Zeile.</t>
  </si>
  <si>
    <t xml:space="preserve">Ortsdurchfahrt</t>
  </si>
  <si>
    <t xml:space="preserve">Fahrbahn-
breite (m)</t>
  </si>
  <si>
    <t xml:space="preserve">dominante
Klasse</t>
  </si>
  <si>
    <t xml:space="preserve">Anteil
&lt;= 6 m</t>
  </si>
  <si>
    <t xml:space="preserve">Anteil
&lt;= 4 m</t>
  </si>
  <si>
    <t xml:space="preserve">Unfälle</t>
  </si>
  <si>
    <t xml:space="preserve">mit Fuss/
Velo</t>
  </si>
  <si>
    <t xml:space="preserve">6m</t>
  </si>
  <si>
    <t xml:space="preserve">4m</t>
  </si>
  <si>
    <t xml:space="preserve">8m</t>
  </si>
  <si>
    <t xml:space="preserve">Hemmental (Schaffhausen)</t>
  </si>
  <si>
    <t xml:space="preserve">Osterfingen (Wilchingen)</t>
  </si>
  <si>
    <t xml:space="preserve">Altdorf (Thayngen)</t>
  </si>
  <si>
    <t xml:space="preserve">Opfertshofen (Thayngen)</t>
  </si>
  <si>
    <t xml:space="preserve">Hofen (Thayngen)</t>
  </si>
  <si>
    <t xml:space="preserve">Bibern (Thayngen)</t>
  </si>
  <si>
    <t xml:space="preserve">Guntmadingen (Beringen)</t>
  </si>
  <si>
    <t xml:space="preserve">Barzheim (Thayngen)</t>
  </si>
  <si>
    <t xml:space="preserve">Hinweis: Breiten sind swissTLM-Klassen (10/8/6/4/3/2 m), keine Feinmessung. Schmale Werte (&lt;= 6 m) zeigen, wo zwei Lastwagen sich bei Tempo 50 nicht sicher kreuzen können.</t>
  </si>
  <si>
    <t xml:space="preserve">Buslinien: Fahrplanrisiko bei Tempo 30 (Schaffhausen/Neuhausen und Region)</t>
  </si>
  <si>
    <t xml:space="preserve">Zusatzfahrzeit, wenn die von der Linie befahrenen Kantonsstrassen innerorts auf Tempo 30 gingen. Linienführung: OpenStreetMap. Zeitwirkung: +20 s/km (ASTRA FB 1663).</t>
  </si>
  <si>
    <t xml:space="preserve">Zusatzzeit je km (editierbar)</t>
  </si>
  <si>
    <t xml:space="preserve">Sekunden je km</t>
  </si>
  <si>
    <t xml:space="preserve">Linie</t>
  </si>
  <si>
    <t xml:space="preserve">Betreiber</t>
  </si>
  <si>
    <t xml:space="preserve">Routen-
länge km</t>
  </si>
  <si>
    <t xml:space="preserve">betroffen km
(Kt-Str. innerorts)</t>
  </si>
  <si>
    <t xml:space="preserve">davon Schaff-
hausen/Neuhausen</t>
  </si>
  <si>
    <t xml:space="preserve">Zusatzzeit
einfach (s)</t>
  </si>
  <si>
    <t xml:space="preserve">Zusatzzeit
hin/rück (s)</t>
  </si>
  <si>
    <t xml:space="preserve">Fahrplan-
risiko</t>
  </si>
  <si>
    <t xml:space="preserve">21</t>
  </si>
  <si>
    <t xml:space="preserve">VBSH</t>
  </si>
  <si>
    <t xml:space="preserve">hoch</t>
  </si>
  <si>
    <t xml:space="preserve">24</t>
  </si>
  <si>
    <t xml:space="preserve">25</t>
  </si>
  <si>
    <t xml:space="preserve">1</t>
  </si>
  <si>
    <t xml:space="preserve">mittel</t>
  </si>
  <si>
    <t xml:space="preserve">3</t>
  </si>
  <si>
    <t xml:space="preserve">22</t>
  </si>
  <si>
    <t xml:space="preserve">23</t>
  </si>
  <si>
    <t xml:space="preserve">gering</t>
  </si>
  <si>
    <t xml:space="preserve">9</t>
  </si>
  <si>
    <t xml:space="preserve">10</t>
  </si>
  <si>
    <t xml:space="preserve">5</t>
  </si>
  <si>
    <t xml:space="preserve">4</t>
  </si>
  <si>
    <t xml:space="preserve">8</t>
  </si>
  <si>
    <t xml:space="preserve">630</t>
  </si>
  <si>
    <t xml:space="preserve">PAZ</t>
  </si>
  <si>
    <t xml:space="preserve">632</t>
  </si>
  <si>
    <t xml:space="preserve">634</t>
  </si>
  <si>
    <t xml:space="preserve">7</t>
  </si>
  <si>
    <t xml:space="preserve">28</t>
  </si>
  <si>
    <t xml:space="preserve">847</t>
  </si>
  <si>
    <t xml:space="preserve">PAG</t>
  </si>
  <si>
    <t xml:space="preserve">848</t>
  </si>
  <si>
    <t xml:space="preserve">Fahrplanrisiko (Heuristik): hoch ab +300 s hin/rück, mittel ab +150 s, sonst gering. Ohne konkrete Fahrplanreserven; als Hinweis zu verstehen.</t>
  </si>
  <si>
    <t xml:space="preserve">Wichtig: In dicht getakteten Stadtabschnitten erreichen Busse zwischen den Haltestellen selten 50 km/h, dort ist die Wirkung kleiner als +20 s/km. Auf langen Abschnitten zwischen Dörfern (Regionallinien) ist die Wirkung voll wirksam.</t>
  </si>
  <si>
    <t xml:space="preserve">Nur Tages-Linien VBSH und PostAuto im Raum Schaffhausen; Nacht- und Fernlinien ausgeschlossen.</t>
  </si>
  <si>
    <t xml:space="preserve">Massnahmeneignung je benanntem Kantonsstrassen-Abschnitt innerorts</t>
  </si>
  <si>
    <t xml:space="preserve">Benannte Abschnitte aus den Verkehrszaehldaten (DTV, geo.sh.ch). Funktion aus kantonalem Strassenrichtplan: verkehrsorientiert = ueberregional/regional (von der Initiative betroffen), siedlungsorientiert = ueberlokal. Unfaelle und Laermfassaden dem naechsten Abschnitt zugeordnet, 2011 bis 2025.</t>
  </si>
  <si>
    <t xml:space="preserve">Strassenabschnitt</t>
  </si>
  <si>
    <t xml:space="preserve">Funktion</t>
  </si>
  <si>
    <t xml:space="preserve">Kt-Str.
Nr.</t>
  </si>
  <si>
    <t xml:space="preserve">km</t>
  </si>
  <si>
    <t xml:space="preserve">DTV
(Fz/Tag)</t>
  </si>
  <si>
    <t xml:space="preserve">Unfaelle</t>
  </si>
  <si>
    <t xml:space="preserve">Fuss</t>
  </si>
  <si>
    <t xml:space="preserve">Velo</t>
  </si>
  <si>
    <t xml:space="preserve">Unfaelle pro
km u. Jahr</t>
  </si>
  <si>
    <t xml:space="preserve">Eignung</t>
  </si>
  <si>
    <t xml:space="preserve">Kosten-Nutzen-
Verhaeltnis</t>
  </si>
  <si>
    <t xml:space="preserve">Kantonsstrasse H4</t>
  </si>
  <si>
    <t xml:space="preserve">verkehrsorientiert</t>
  </si>
  <si>
    <t xml:space="preserve">H4</t>
  </si>
  <si>
    <t xml:space="preserve">geringe Eignung</t>
  </si>
  <si>
    <t xml:space="preserve">Schulstrasse</t>
  </si>
  <si>
    <t xml:space="preserve">siedlungsorientiert</t>
  </si>
  <si>
    <t xml:space="preserve">725</t>
  </si>
  <si>
    <t xml:space="preserve">Dorfstrasse</t>
  </si>
  <si>
    <t xml:space="preserve">723</t>
  </si>
  <si>
    <t xml:space="preserve">Randenstrasse</t>
  </si>
  <si>
    <t xml:space="preserve">722</t>
  </si>
  <si>
    <t xml:space="preserve">Zollstrasse</t>
  </si>
  <si>
    <t xml:space="preserve">724</t>
  </si>
  <si>
    <t xml:space="preserve">Trasadingerstrasse</t>
  </si>
  <si>
    <t xml:space="preserve">H13</t>
  </si>
  <si>
    <t xml:space="preserve">Schaffhauserstrasse</t>
  </si>
  <si>
    <t xml:space="preserve">716</t>
  </si>
  <si>
    <t xml:space="preserve">hohe Eignung</t>
  </si>
  <si>
    <t xml:space="preserve">Hardstrasse</t>
  </si>
  <si>
    <t xml:space="preserve">801, 82</t>
  </si>
  <si>
    <t xml:space="preserve">Steinerstrasse</t>
  </si>
  <si>
    <t xml:space="preserve">82</t>
  </si>
  <si>
    <t xml:space="preserve">801</t>
  </si>
  <si>
    <t xml:space="preserve">604</t>
  </si>
  <si>
    <t xml:space="preserve">735</t>
  </si>
  <si>
    <t xml:space="preserve">Neudörflingerstrasse</t>
  </si>
  <si>
    <t xml:space="preserve">745, 747</t>
  </si>
  <si>
    <t xml:space="preserve">748</t>
  </si>
  <si>
    <t xml:space="preserve">Büsingerstrasse</t>
  </si>
  <si>
    <t xml:space="preserve">747</t>
  </si>
  <si>
    <t xml:space="preserve">Randeggerstrasse</t>
  </si>
  <si>
    <t xml:space="preserve">Kirchstrasse</t>
  </si>
  <si>
    <t xml:space="preserve">711</t>
  </si>
  <si>
    <t xml:space="preserve">Hauptstrasse</t>
  </si>
  <si>
    <t xml:space="preserve">73</t>
  </si>
  <si>
    <t xml:space="preserve">Bahnhofstrasse</t>
  </si>
  <si>
    <t xml:space="preserve">72, 73</t>
  </si>
  <si>
    <t xml:space="preserve">Neunkircherstrasse</t>
  </si>
  <si>
    <t xml:space="preserve">Oberhallauerstrasse</t>
  </si>
  <si>
    <t xml:space="preserve">707, 73</t>
  </si>
  <si>
    <t xml:space="preserve">Bergstrasse</t>
  </si>
  <si>
    <t xml:space="preserve">706</t>
  </si>
  <si>
    <t xml:space="preserve">Wunderklingerstrasse</t>
  </si>
  <si>
    <t xml:space="preserve">705, 72</t>
  </si>
  <si>
    <t xml:space="preserve">804, H332</t>
  </si>
  <si>
    <t xml:space="preserve">Ausserdorf</t>
  </si>
  <si>
    <t xml:space="preserve">733</t>
  </si>
  <si>
    <t xml:space="preserve">Freudentalstrasse</t>
  </si>
  <si>
    <t xml:space="preserve">Vorderdorf</t>
  </si>
  <si>
    <t xml:space="preserve">734</t>
  </si>
  <si>
    <t xml:space="preserve">Stettemerstrasse</t>
  </si>
  <si>
    <t xml:space="preserve">731</t>
  </si>
  <si>
    <t xml:space="preserve">Schmittengasse</t>
  </si>
  <si>
    <t xml:space="preserve">738</t>
  </si>
  <si>
    <t xml:space="preserve">H14</t>
  </si>
  <si>
    <t xml:space="preserve">Schleitheimerstrasse</t>
  </si>
  <si>
    <t xml:space="preserve">mittlere Eignung</t>
  </si>
  <si>
    <t xml:space="preserve">Schulgasse</t>
  </si>
  <si>
    <t xml:space="preserve">713</t>
  </si>
  <si>
    <t xml:space="preserve">Klettgauerstrasse</t>
  </si>
  <si>
    <t xml:space="preserve">H13, H4</t>
  </si>
  <si>
    <t xml:space="preserve">Rheinfallstrasse</t>
  </si>
  <si>
    <t xml:space="preserve">715</t>
  </si>
  <si>
    <t xml:space="preserve">Nohlstrasse</t>
  </si>
  <si>
    <t xml:space="preserve">Grosser Letten</t>
  </si>
  <si>
    <t xml:space="preserve">Hallauerstrasse</t>
  </si>
  <si>
    <t xml:space="preserve">Wilchingerstrasse</t>
  </si>
  <si>
    <t xml:space="preserve">Kantonsstrasse 73</t>
  </si>
  <si>
    <t xml:space="preserve">Grabenstrasse</t>
  </si>
  <si>
    <t xml:space="preserve">Gächlingerstrasse</t>
  </si>
  <si>
    <t xml:space="preserve">Löhningerstrasse</t>
  </si>
  <si>
    <t xml:space="preserve">712</t>
  </si>
  <si>
    <t xml:space="preserve">707, 708</t>
  </si>
  <si>
    <t xml:space="preserve">Petersburg</t>
  </si>
  <si>
    <t xml:space="preserve">H332</t>
  </si>
  <si>
    <t xml:space="preserve">Moskau</t>
  </si>
  <si>
    <t xml:space="preserve">Sonnenstrasse</t>
  </si>
  <si>
    <t xml:space="preserve">H329</t>
  </si>
  <si>
    <t xml:space="preserve">Kantonsstrasse H329</t>
  </si>
  <si>
    <t xml:space="preserve">Rafzerstrasse</t>
  </si>
  <si>
    <t xml:space="preserve">61</t>
  </si>
  <si>
    <t xml:space="preserve">Steinenkreuzstrasse</t>
  </si>
  <si>
    <t xml:space="preserve">603</t>
  </si>
  <si>
    <t xml:space="preserve">604, 605</t>
  </si>
  <si>
    <t xml:space="preserve">Ebnatstrasse</t>
  </si>
  <si>
    <t xml:space="preserve">Hochstrasse</t>
  </si>
  <si>
    <t xml:space="preserve">76, H4</t>
  </si>
  <si>
    <t xml:space="preserve">Mühlenstrasse</t>
  </si>
  <si>
    <t xml:space="preserve">Schweizersbildstrasse</t>
  </si>
  <si>
    <t xml:space="preserve">Rheinuferstrasse</t>
  </si>
  <si>
    <t xml:space="preserve">Bachstrasse</t>
  </si>
  <si>
    <t xml:space="preserve">Fulachstrasse</t>
  </si>
  <si>
    <t xml:space="preserve">Gennersbrunnerstrasse</t>
  </si>
  <si>
    <t xml:space="preserve">746, H15</t>
  </si>
  <si>
    <t xml:space="preserve">Rheinhaldenstrasse</t>
  </si>
  <si>
    <t xml:space="preserve">Gemsgasse</t>
  </si>
  <si>
    <t xml:space="preserve">76, 761</t>
  </si>
  <si>
    <t xml:space="preserve">Thayngerstrasse</t>
  </si>
  <si>
    <t xml:space="preserve">H15</t>
  </si>
  <si>
    <t xml:space="preserve">Fischerhäuserstrasse</t>
  </si>
  <si>
    <t xml:space="preserve">Ernst Homberger-Strasse</t>
  </si>
  <si>
    <t xml:space="preserve">Steigstrasse</t>
  </si>
  <si>
    <t xml:space="preserve">721</t>
  </si>
  <si>
    <t xml:space="preserve">Nordstrasse</t>
  </si>
  <si>
    <t xml:space="preserve">Hauentalstrasse</t>
  </si>
  <si>
    <t xml:space="preserve">721, 76</t>
  </si>
  <si>
    <t xml:space="preserve">Schlossstrasse</t>
  </si>
  <si>
    <t xml:space="preserve">721, 722</t>
  </si>
  <si>
    <t xml:space="preserve">Im Gehren</t>
  </si>
  <si>
    <t xml:space="preserve">Kantonsstrasse 761</t>
  </si>
  <si>
    <t xml:space="preserve">761</t>
  </si>
  <si>
    <t xml:space="preserve">Schwarzwaldstrasse</t>
  </si>
  <si>
    <t xml:space="preserve">Poststrasse</t>
  </si>
  <si>
    <t xml:space="preserve">Beggingerstrasse</t>
  </si>
  <si>
    <t xml:space="preserve">Kantonsstrasse 723</t>
  </si>
  <si>
    <t xml:space="preserve">711, H14</t>
  </si>
  <si>
    <t xml:space="preserve">Hemishoferstrasse</t>
  </si>
  <si>
    <t xml:space="preserve">Wagenhauserstrasse</t>
  </si>
  <si>
    <t xml:space="preserve">H13, H352</t>
  </si>
  <si>
    <t xml:space="preserve">Oehningerstrasse</t>
  </si>
  <si>
    <t xml:space="preserve">H330</t>
  </si>
  <si>
    <t xml:space="preserve">Kaltenbacherstrasse</t>
  </si>
  <si>
    <t xml:space="preserve">H352</t>
  </si>
  <si>
    <t xml:space="preserve">Rhigass</t>
  </si>
  <si>
    <t xml:space="preserve">H330, H352</t>
  </si>
  <si>
    <t xml:space="preserve">Langstuck</t>
  </si>
  <si>
    <t xml:space="preserve">Eschenzerstrasse</t>
  </si>
  <si>
    <t xml:space="preserve">732</t>
  </si>
  <si>
    <t xml:space="preserve">Erlengasse</t>
  </si>
  <si>
    <t xml:space="preserve">H331</t>
  </si>
  <si>
    <t xml:space="preserve">Reiatstrasse</t>
  </si>
  <si>
    <t xml:space="preserve">741, H331</t>
  </si>
  <si>
    <t xml:space="preserve">Biberstrasse</t>
  </si>
  <si>
    <t xml:space="preserve">Ebringerstrasse</t>
  </si>
  <si>
    <t xml:space="preserve">744</t>
  </si>
  <si>
    <t xml:space="preserve">Barzheimerstrasse</t>
  </si>
  <si>
    <t xml:space="preserve">743</t>
  </si>
  <si>
    <t xml:space="preserve">Bietingerstrasse</t>
  </si>
  <si>
    <t xml:space="preserve">736, 738</t>
  </si>
  <si>
    <t xml:space="preserve">Wiechserstrasse</t>
  </si>
  <si>
    <t xml:space="preserve">736</t>
  </si>
  <si>
    <t xml:space="preserve">Kantonsstrasse 738</t>
  </si>
  <si>
    <t xml:space="preserve">Undergass</t>
  </si>
  <si>
    <t xml:space="preserve">704</t>
  </si>
  <si>
    <t xml:space="preserve">Tiefenweg</t>
  </si>
  <si>
    <t xml:space="preserve">71</t>
  </si>
  <si>
    <t xml:space="preserve">72</t>
  </si>
  <si>
    <t xml:space="preserve">In der Gasse</t>
  </si>
  <si>
    <t xml:space="preserve">702</t>
  </si>
  <si>
    <t xml:space="preserve">Eignung (Naeherung): hoch/mittel/gering aus Unfalldichte und Laermbelastung je Abschnitt. Kurze, nicht separat benannte Abschnitte erscheinen als «Kantonsstrasse &lt;Nr.&gt;».</t>
  </si>
  <si>
    <t xml:space="preserve">Kosten-Nutzen-Verhaeltnis: monetarisierter Nutzen (Unfall- und Laermkostenersparnis) je Franken Zeitkosten, illustratives Szenario ohne nicht-monetaere Nutzen. Bei kleinem Verkehr wenig aussagekraeftig; massgebend ist die Reihenfolge.</t>
  </si>
  <si>
    <t xml:space="preserve">Kosten-Nutzen-Verhaeltnis pro Gemeinde (verkehrsorientierte Abschnitte)</t>
  </si>
  <si>
    <t xml:space="preserve">Nutzen (Unfall- und Laermkostenersparnis) geteilt durch Zeitkosten, aggregiert je Gemeinde. Nur Gemeinden mit mindestens zwei verkehrsorientierten Abschnitten. Illustratives Szenario, gleiche Saetze wie Blatt Wirtschaftlichkeit und Kennwerte.</t>
  </si>
  <si>
    <t xml:space="preserve">VO-
Abschnitte</t>
  </si>
  <si>
    <t xml:space="preserve">Unfallnutzen
CHF/Jahr</t>
  </si>
  <si>
    <t xml:space="preserve">Laermnutzen
CHF/Jahr</t>
  </si>
  <si>
    <t xml:space="preserve">Nutzen total
CHF/Jahr</t>
  </si>
  <si>
    <t xml:space="preserve">Verhaeltnis
Nutzen/Kosten</t>
  </si>
  <si>
    <t xml:space="preserve">Zonen (Terzile ueber alle Abschnitte): hoch ab 0,11, mittel ab 0,07. Saetze: Zeit 42.50 CHF/h und 20 s/km (ARE/ASTRA); Unfallkosten 139 275 CHF/Unfall und 20% Reduktion (bfu/Ecoplan); Laerm 900 000 CHF/Fassade, 0,5%/dB, 3 dB, 3% Kapitalisierung (BAFU/ZKB). Rein monetaer, ohne nicht-monetaere Nutzen.</t>
  </si>
</sst>
</file>

<file path=xl/styles.xml><?xml version="1.0" encoding="utf-8"?>
<styleSheet xmlns="http://schemas.openxmlformats.org/spreadsheetml/2006/main">
  <numFmts count="9">
    <numFmt numFmtId="164" formatCode="General"/>
    <numFmt numFmtId="165" formatCode="0.00"/>
    <numFmt numFmtId="166" formatCode="0.0"/>
    <numFmt numFmtId="167" formatCode="0%"/>
    <numFmt numFmtId="168" formatCode="General"/>
    <numFmt numFmtId="169" formatCode="#,##0"/>
    <numFmt numFmtId="170" formatCode="0.0%"/>
    <numFmt numFmtId="171" formatCode="#,##0;[RED]\-#,##0"/>
    <numFmt numFmtId="172" formatCode="0.000"/>
  </numFmts>
  <fonts count="21">
    <font>
      <sz val="11"/>
      <color theme="1"/>
      <name val="Calibri"/>
      <family val="2"/>
      <charset val="1"/>
    </font>
    <font>
      <sz val="10"/>
      <name val="Arial"/>
      <family val="0"/>
    </font>
    <font>
      <sz val="10"/>
      <name val="Arial"/>
      <family val="0"/>
    </font>
    <font>
      <sz val="10"/>
      <name val="Arial"/>
      <family val="0"/>
    </font>
    <font>
      <b val="true"/>
      <sz val="13"/>
      <color rgb="FF2F3B52"/>
      <name val="Arial"/>
      <family val="0"/>
      <charset val="1"/>
    </font>
    <font>
      <i val="true"/>
      <sz val="9"/>
      <color rgb="FF5A6472"/>
      <name val="Arial"/>
      <family val="0"/>
      <charset val="1"/>
    </font>
    <font>
      <sz val="9"/>
      <color rgb="FF5A6472"/>
      <name val="Arial"/>
      <family val="0"/>
      <charset val="1"/>
    </font>
    <font>
      <b val="true"/>
      <sz val="9"/>
      <name val="Arial"/>
      <family val="0"/>
      <charset val="1"/>
    </font>
    <font>
      <b val="true"/>
      <sz val="10"/>
      <color rgb="FFFFFFFF"/>
      <name val="Arial"/>
      <family val="0"/>
      <charset val="1"/>
    </font>
    <font>
      <sz val="10"/>
      <name val="Arial"/>
      <family val="0"/>
      <charset val="1"/>
    </font>
    <font>
      <b val="true"/>
      <sz val="10"/>
      <name val="Arial"/>
      <family val="0"/>
      <charset val="1"/>
    </font>
    <font>
      <i val="true"/>
      <sz val="8"/>
      <color rgb="FF5A6472"/>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2F3B52"/>
      <name val="Arial"/>
      <family val="0"/>
      <charset val="1"/>
    </font>
    <font>
      <sz val="10"/>
      <color rgb="FF0000FF"/>
      <name val="Arial"/>
      <family val="0"/>
      <charset val="1"/>
    </font>
    <font>
      <sz val="9"/>
      <color rgb="FF0B0B0B"/>
      <name val="Arial"/>
      <family val="0"/>
      <charset val="1"/>
    </font>
    <font>
      <b val="true"/>
      <sz val="10"/>
      <color rgb="FFD03B3B"/>
      <name val="Arial"/>
      <family val="0"/>
      <charset val="1"/>
    </font>
    <font>
      <b val="true"/>
      <sz val="10"/>
      <color rgb="FFC9871C"/>
      <name val="Arial"/>
      <family val="0"/>
      <charset val="1"/>
    </font>
    <font>
      <b val="true"/>
      <sz val="10"/>
      <color rgb="FF0CA30C"/>
      <name val="Arial"/>
      <family val="0"/>
      <charset val="1"/>
    </font>
  </fonts>
  <fills count="5">
    <fill>
      <patternFill patternType="none"/>
    </fill>
    <fill>
      <patternFill patternType="gray125"/>
    </fill>
    <fill>
      <patternFill patternType="solid">
        <fgColor rgb="FF2F3B52"/>
        <bgColor rgb="FF333399"/>
      </patternFill>
    </fill>
    <fill>
      <patternFill patternType="solid">
        <fgColor rgb="FFEEF1F5"/>
        <bgColor rgb="FFDCE6F1"/>
      </patternFill>
    </fill>
    <fill>
      <patternFill patternType="solid">
        <fgColor rgb="FFDCE6F1"/>
        <bgColor rgb="FFD9D9D9"/>
      </patternFill>
    </fill>
  </fills>
  <borders count="2">
    <border diagonalUp="false" diagonalDown="false">
      <left/>
      <right/>
      <top/>
      <bottom/>
      <diagonal/>
    </border>
    <border diagonalUp="false" diagonalDown="false">
      <left style="thin">
        <color rgb="FFCBD2DB"/>
      </left>
      <right style="thin">
        <color rgb="FFCBD2DB"/>
      </right>
      <top style="thin">
        <color rgb="FFCBD2DB"/>
      </top>
      <bottom style="thin">
        <color rgb="FFCBD2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left"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false" indent="0" shrinkToFit="false"/>
      <protection locked="true" hidden="false"/>
    </xf>
    <xf numFmtId="166" fontId="9" fillId="3" borderId="1" xfId="0" applyFont="true" applyBorder="true" applyAlignment="true" applyProtection="false">
      <alignment horizontal="center" vertical="bottom" textRotation="0" wrapText="false" indent="0" shrinkToFit="false"/>
      <protection locked="true" hidden="false"/>
    </xf>
    <xf numFmtId="167" fontId="9" fillId="3"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left"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7" fontId="10" fillId="4" borderId="1" xfId="0" applyFont="true" applyBorder="true" applyAlignment="true" applyProtection="false">
      <alignment horizontal="center" vertical="bottom" textRotation="0" wrapText="false" indent="0" shrinkToFit="false"/>
      <protection locked="true" hidden="false"/>
    </xf>
    <xf numFmtId="168" fontId="10" fillId="4" borderId="1" xfId="0" applyFont="true" applyBorder="tru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center" vertical="bottom" textRotation="0" wrapText="false" indent="0" shrinkToFit="false"/>
      <protection locked="true" hidden="false"/>
    </xf>
    <xf numFmtId="171" fontId="9" fillId="0" borderId="1" xfId="0" applyFont="true" applyBorder="true" applyAlignment="true" applyProtection="false">
      <alignment horizontal="center" vertical="bottom" textRotation="0" wrapText="false" indent="0" shrinkToFit="false"/>
      <protection locked="true" hidden="false"/>
    </xf>
    <xf numFmtId="169" fontId="9" fillId="3" borderId="1" xfId="0" applyFont="true" applyBorder="true" applyAlignment="true" applyProtection="false">
      <alignment horizontal="center" vertical="bottom" textRotation="0" wrapText="false" indent="0" shrinkToFit="false"/>
      <protection locked="true" hidden="false"/>
    </xf>
    <xf numFmtId="171" fontId="9" fillId="3" borderId="1" xfId="0" applyFont="true" applyBorder="true" applyAlignment="true" applyProtection="false">
      <alignment horizontal="center" vertical="bottom" textRotation="0" wrapText="false" indent="0" shrinkToFit="false"/>
      <protection locked="true" hidden="false"/>
    </xf>
    <xf numFmtId="169" fontId="10" fillId="4" borderId="1" xfId="0" applyFont="true" applyBorder="true" applyAlignment="true" applyProtection="false">
      <alignment horizontal="center" vertical="bottom" textRotation="0" wrapText="false" indent="0" shrinkToFit="false"/>
      <protection locked="true" hidden="false"/>
    </xf>
    <xf numFmtId="171" fontId="10" fillId="4"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72" fontId="9" fillId="0" borderId="1" xfId="0" applyFont="true" applyBorder="true" applyAlignment="true" applyProtection="false">
      <alignment horizontal="center" vertical="bottom" textRotation="0" wrapText="false" indent="0" shrinkToFit="false"/>
      <protection locked="true" hidden="false"/>
    </xf>
    <xf numFmtId="172" fontId="9"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CA30C"/>
      <rgbColor rgb="FF000080"/>
      <rgbColor rgb="FF808000"/>
      <rgbColor rgb="FF800080"/>
      <rgbColor rgb="FF008080"/>
      <rgbColor rgb="FFD9D9D9"/>
      <rgbColor rgb="FF878787"/>
      <rgbColor rgb="FF9999FF"/>
      <rgbColor rgb="FFD03B3B"/>
      <rgbColor rgb="FFEEF1F5"/>
      <rgbColor rgb="FFDCE6F1"/>
      <rgbColor rgb="FF660066"/>
      <rgbColor rgb="FFFF8080"/>
      <rgbColor rgb="FF0066CC"/>
      <rgbColor rgb="FFCBD2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C9871C"/>
      <rgbColor rgb="FFFF6600"/>
      <rgbColor rgb="FF5A6472"/>
      <rgbColor rgb="FF969696"/>
      <rgbColor rgb="FF003366"/>
      <rgbColor rgb="FF339966"/>
      <rgbColor rgb="FF0B0B0B"/>
      <rgbColor rgb="FF333300"/>
      <rgbColor rgb="FF993300"/>
      <rgbColor rgb="FF993366"/>
      <rgbColor rgb="FF333399"/>
      <rgbColor rgb="FF2F3B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Kantonsstrassen innerorts pro Gemeinde (km)</a:t>
            </a:r>
          </a:p>
        </c:rich>
      </c:tx>
      <c:overlay val="0"/>
      <c:spPr>
        <a:noFill/>
        <a:ln w="0">
          <a:noFill/>
        </a:ln>
      </c:spPr>
    </c:title>
    <c:autoTitleDeleted val="0"/>
    <c:plotArea>
      <c:barChart>
        <c:barDir val="bar"/>
        <c:grouping val="clustered"/>
        <c:varyColors val="0"/>
        <c:ser>
          <c:idx val="0"/>
          <c:order val="0"/>
          <c:tx>
            <c:strRef>
              <c:f>Gemeinden!B4</c:f>
              <c:strCache>
                <c:ptCount val="1"/>
                <c:pt idx="0">
                  <c:v>Kantonsstrassen
innerorts (km)</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Gemeinden!$A$5:$A$30</c:f>
              <c:strCache>
                <c:ptCount val="26"/>
                <c:pt idx="0">
                  <c:v>Schaffhausen</c:v>
                </c:pt>
                <c:pt idx="1">
                  <c:v>Thayngen</c:v>
                </c:pt>
                <c:pt idx="2">
                  <c:v>Neuhausen am Rheinfall</c:v>
                </c:pt>
                <c:pt idx="3">
                  <c:v>Stein am Rhein</c:v>
                </c:pt>
                <c:pt idx="4">
                  <c:v>Wilchingen</c:v>
                </c:pt>
                <c:pt idx="5">
                  <c:v>Schleitheim</c:v>
                </c:pt>
                <c:pt idx="6">
                  <c:v>Neunkirch</c:v>
                </c:pt>
                <c:pt idx="7">
                  <c:v>Hallau</c:v>
                </c:pt>
                <c:pt idx="8">
                  <c:v>Ramsen</c:v>
                </c:pt>
                <c:pt idx="9">
                  <c:v>Beringen</c:v>
                </c:pt>
                <c:pt idx="10">
                  <c:v>Dörflingen</c:v>
                </c:pt>
                <c:pt idx="11">
                  <c:v>Stetten (SH)</c:v>
                </c:pt>
                <c:pt idx="12">
                  <c:v>Buch (SH)</c:v>
                </c:pt>
                <c:pt idx="13">
                  <c:v>Hemishofen</c:v>
                </c:pt>
                <c:pt idx="14">
                  <c:v>Beggingen</c:v>
                </c:pt>
                <c:pt idx="15">
                  <c:v>Lohn (SH)</c:v>
                </c:pt>
                <c:pt idx="16">
                  <c:v>Rüdlingen</c:v>
                </c:pt>
                <c:pt idx="17">
                  <c:v>Siblingen</c:v>
                </c:pt>
                <c:pt idx="18">
                  <c:v>Trasadingen</c:v>
                </c:pt>
                <c:pt idx="19">
                  <c:v>Bargen (SH)</c:v>
                </c:pt>
                <c:pt idx="20">
                  <c:v>Löhningen</c:v>
                </c:pt>
                <c:pt idx="21">
                  <c:v>Merishausen</c:v>
                </c:pt>
                <c:pt idx="22">
                  <c:v>Oberhallau</c:v>
                </c:pt>
                <c:pt idx="23">
                  <c:v>Gächlingen</c:v>
                </c:pt>
                <c:pt idx="24">
                  <c:v>Buchberg</c:v>
                </c:pt>
                <c:pt idx="25">
                  <c:v>Büttenhardt</c:v>
                </c:pt>
              </c:strCache>
            </c:strRef>
          </c:cat>
          <c:val>
            <c:numRef>
              <c:f>Gemeinden!$B$5:$B$30</c:f>
              <c:numCache>
                <c:formatCode>0.00</c:formatCode>
                <c:ptCount val="26"/>
                <c:pt idx="0">
                  <c:v>22.52</c:v>
                </c:pt>
                <c:pt idx="1">
                  <c:v>9.7</c:v>
                </c:pt>
                <c:pt idx="2">
                  <c:v>5.5</c:v>
                </c:pt>
                <c:pt idx="3">
                  <c:v>5.36</c:v>
                </c:pt>
                <c:pt idx="4">
                  <c:v>3.57</c:v>
                </c:pt>
                <c:pt idx="5">
                  <c:v>3.57</c:v>
                </c:pt>
                <c:pt idx="6">
                  <c:v>3.49</c:v>
                </c:pt>
                <c:pt idx="7">
                  <c:v>2.75</c:v>
                </c:pt>
                <c:pt idx="8">
                  <c:v>2.55</c:v>
                </c:pt>
                <c:pt idx="9">
                  <c:v>2.14</c:v>
                </c:pt>
                <c:pt idx="10">
                  <c:v>2.11</c:v>
                </c:pt>
                <c:pt idx="11">
                  <c:v>1.95</c:v>
                </c:pt>
                <c:pt idx="12">
                  <c:v>1.69</c:v>
                </c:pt>
                <c:pt idx="13">
                  <c:v>1.52</c:v>
                </c:pt>
                <c:pt idx="14">
                  <c:v>1.41</c:v>
                </c:pt>
                <c:pt idx="15">
                  <c:v>1.32</c:v>
                </c:pt>
                <c:pt idx="16">
                  <c:v>1.32</c:v>
                </c:pt>
                <c:pt idx="17">
                  <c:v>1.2</c:v>
                </c:pt>
                <c:pt idx="18">
                  <c:v>1.2</c:v>
                </c:pt>
                <c:pt idx="19">
                  <c:v>1.16</c:v>
                </c:pt>
                <c:pt idx="20">
                  <c:v>0.97</c:v>
                </c:pt>
                <c:pt idx="21">
                  <c:v>0.92</c:v>
                </c:pt>
                <c:pt idx="22">
                  <c:v>0.73</c:v>
                </c:pt>
                <c:pt idx="23">
                  <c:v>0.67</c:v>
                </c:pt>
                <c:pt idx="24">
                  <c:v>0.57</c:v>
                </c:pt>
                <c:pt idx="25">
                  <c:v>0.49</c:v>
                </c:pt>
              </c:numCache>
            </c:numRef>
          </c:val>
        </c:ser>
        <c:gapWidth val="150"/>
        <c:overlap val="0"/>
        <c:axId val="52476270"/>
        <c:axId val="53118757"/>
      </c:barChart>
      <c:catAx>
        <c:axId val="524762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118757"/>
        <c:crosses val="autoZero"/>
        <c:auto val="1"/>
        <c:lblAlgn val="ctr"/>
        <c:lblOffset val="100"/>
        <c:noMultiLvlLbl val="0"/>
      </c:catAx>
      <c:valAx>
        <c:axId val="5311875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km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4762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176040</xdr:rowOff>
    </xdr:from>
    <xdr:to>
      <xdr:col>7</xdr:col>
      <xdr:colOff>151200</xdr:colOff>
      <xdr:row>62</xdr:row>
      <xdr:rowOff>51120</xdr:rowOff>
    </xdr:to>
    <xdr:graphicFrame>
      <xdr:nvGraphicFramePr>
        <xdr:cNvPr id="0" name="Chart 1"/>
        <xdr:cNvGraphicFramePr/>
      </xdr:nvGraphicFramePr>
      <xdr:xfrm>
        <a:off x="0" y="7162920"/>
        <a:ext cx="7199640" cy="53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5"/>
    <col collapsed="false" customWidth="true" hidden="false" outlineLevel="0" max="4" min="4" style="0" width="10"/>
    <col collapsed="false" customWidth="true" hidden="false" outlineLevel="0" max="5" min="5" style="0" width="14"/>
    <col collapsed="false" customWidth="true" hidden="false" outlineLevel="0" max="6" min="6" style="0" width="10"/>
    <col collapsed="false" customWidth="true" hidden="false" outlineLevel="0" max="8" min="7" style="0" width="12"/>
    <col collapsed="false" customWidth="true" hidden="false" outlineLevel="0" max="9" min="9" style="0" width="14"/>
    <col collapsed="false" customWidth="true" hidden="false" outlineLevel="0" max="11" min="10" style="0" width="12"/>
  </cols>
  <sheetData>
    <row r="1" customFormat="false" ht="16.15" hidden="false" customHeight="false" outlineLevel="0" collapsed="false">
      <c r="A1" s="1" t="s">
        <v>0</v>
      </c>
      <c r="B1" s="1"/>
      <c r="C1" s="1"/>
      <c r="D1" s="1"/>
      <c r="E1" s="1"/>
      <c r="F1" s="1"/>
      <c r="G1" s="1"/>
      <c r="H1" s="1"/>
      <c r="I1" s="1"/>
      <c r="J1" s="1"/>
      <c r="K1" s="1"/>
    </row>
    <row r="2" customFormat="false" ht="42" hidden="false" customHeight="true" outlineLevel="0" collapsed="false">
      <c r="A2" s="2" t="s">
        <v>1</v>
      </c>
      <c r="B2" s="2"/>
      <c r="C2" s="2"/>
      <c r="D2" s="2"/>
      <c r="E2" s="2"/>
      <c r="F2" s="2"/>
      <c r="G2" s="2"/>
      <c r="H2" s="2"/>
      <c r="I2" s="2"/>
      <c r="J2" s="2"/>
      <c r="K2" s="2"/>
      <c r="M2" s="3" t="s">
        <v>2</v>
      </c>
      <c r="N2" s="4" t="n">
        <v>15</v>
      </c>
    </row>
    <row r="4" customFormat="false" ht="42" hidden="false" customHeight="true" outlineLevel="0" collapsed="false">
      <c r="A4" s="5" t="s">
        <v>3</v>
      </c>
      <c r="B4" s="5" t="s">
        <v>4</v>
      </c>
      <c r="C4" s="5" t="s">
        <v>5</v>
      </c>
      <c r="D4" s="5" t="s">
        <v>6</v>
      </c>
      <c r="E4" s="5" t="s">
        <v>7</v>
      </c>
      <c r="F4" s="5" t="s">
        <v>8</v>
      </c>
      <c r="G4" s="5" t="s">
        <v>9</v>
      </c>
      <c r="H4" s="5" t="s">
        <v>10</v>
      </c>
      <c r="I4" s="5" t="s">
        <v>11</v>
      </c>
      <c r="J4" s="5" t="s">
        <v>12</v>
      </c>
      <c r="K4" s="5" t="s">
        <v>13</v>
      </c>
    </row>
    <row r="5" customFormat="false" ht="15" hidden="false" customHeight="false" outlineLevel="0" collapsed="false">
      <c r="A5" s="6" t="s">
        <v>14</v>
      </c>
      <c r="B5" s="7" t="n">
        <v>22.52</v>
      </c>
      <c r="C5" s="8" t="n">
        <v>35.46</v>
      </c>
      <c r="D5" s="9" t="n">
        <f aca="false">IFERROR(B5/C5,0)</f>
        <v>0.635081782289904</v>
      </c>
      <c r="E5" s="10" t="n">
        <v>630</v>
      </c>
      <c r="F5" s="10" t="n">
        <v>2</v>
      </c>
      <c r="G5" s="10" t="n">
        <v>107</v>
      </c>
      <c r="H5" s="10" t="n">
        <v>521</v>
      </c>
      <c r="I5" s="10" t="n">
        <v>72</v>
      </c>
      <c r="J5" s="10" t="n">
        <v>181</v>
      </c>
      <c r="K5" s="7" t="n">
        <f aca="false">IFERROR(E5/(B5*$N$2),0)</f>
        <v>1.86500888099467</v>
      </c>
    </row>
    <row r="6" customFormat="false" ht="15" hidden="false" customHeight="false" outlineLevel="0" collapsed="false">
      <c r="A6" s="11" t="s">
        <v>15</v>
      </c>
      <c r="B6" s="12" t="n">
        <v>9.7</v>
      </c>
      <c r="C6" s="13" t="n">
        <v>25.89</v>
      </c>
      <c r="D6" s="14" t="n">
        <f aca="false">IFERROR(B6/C6,0)</f>
        <v>0.37466203167246</v>
      </c>
      <c r="E6" s="15" t="n">
        <v>69</v>
      </c>
      <c r="F6" s="15" t="n">
        <v>1</v>
      </c>
      <c r="G6" s="15" t="n">
        <v>18</v>
      </c>
      <c r="H6" s="15" t="n">
        <v>50</v>
      </c>
      <c r="I6" s="15" t="n">
        <v>10</v>
      </c>
      <c r="J6" s="15" t="n">
        <v>19</v>
      </c>
      <c r="K6" s="12" t="n">
        <f aca="false">IFERROR(E6/(B6*$N$2),0)</f>
        <v>0.474226804123711</v>
      </c>
    </row>
    <row r="7" customFormat="false" ht="15" hidden="false" customHeight="false" outlineLevel="0" collapsed="false">
      <c r="A7" s="6" t="s">
        <v>16</v>
      </c>
      <c r="B7" s="7" t="n">
        <v>5.5</v>
      </c>
      <c r="C7" s="8" t="n">
        <v>6.7</v>
      </c>
      <c r="D7" s="9" t="n">
        <f aca="false">IFERROR(B7/C7,0)</f>
        <v>0.82089552238806</v>
      </c>
      <c r="E7" s="10" t="n">
        <v>218</v>
      </c>
      <c r="F7" s="10" t="n">
        <v>0</v>
      </c>
      <c r="G7" s="10" t="n">
        <v>38</v>
      </c>
      <c r="H7" s="10" t="n">
        <v>180</v>
      </c>
      <c r="I7" s="10" t="n">
        <v>31</v>
      </c>
      <c r="J7" s="10" t="n">
        <v>31</v>
      </c>
      <c r="K7" s="7" t="n">
        <f aca="false">IFERROR(E7/(B7*$N$2),0)</f>
        <v>2.64242424242424</v>
      </c>
    </row>
    <row r="8" customFormat="false" ht="15" hidden="false" customHeight="false" outlineLevel="0" collapsed="false">
      <c r="A8" s="11" t="s">
        <v>17</v>
      </c>
      <c r="B8" s="12" t="n">
        <v>5.36</v>
      </c>
      <c r="C8" s="13" t="n">
        <v>5.97</v>
      </c>
      <c r="D8" s="14" t="n">
        <f aca="false">IFERROR(B8/C8,0)</f>
        <v>0.897822445561139</v>
      </c>
      <c r="E8" s="15" t="n">
        <v>82</v>
      </c>
      <c r="F8" s="15" t="n">
        <v>0</v>
      </c>
      <c r="G8" s="15" t="n">
        <v>21</v>
      </c>
      <c r="H8" s="15" t="n">
        <v>61</v>
      </c>
      <c r="I8" s="15" t="n">
        <v>9</v>
      </c>
      <c r="J8" s="15" t="n">
        <v>42</v>
      </c>
      <c r="K8" s="12" t="n">
        <f aca="false">IFERROR(E8/(B8*$N$2),0)</f>
        <v>1.01990049751244</v>
      </c>
    </row>
    <row r="9" customFormat="false" ht="15" hidden="false" customHeight="false" outlineLevel="0" collapsed="false">
      <c r="A9" s="6" t="s">
        <v>18</v>
      </c>
      <c r="B9" s="7" t="n">
        <v>3.57</v>
      </c>
      <c r="C9" s="8" t="n">
        <v>12.43</v>
      </c>
      <c r="D9" s="9" t="n">
        <f aca="false">IFERROR(B9/C9,0)</f>
        <v>0.287208366854385</v>
      </c>
      <c r="E9" s="10" t="n">
        <v>12</v>
      </c>
      <c r="F9" s="10" t="n">
        <v>0</v>
      </c>
      <c r="G9" s="10" t="n">
        <v>2</v>
      </c>
      <c r="H9" s="10" t="n">
        <v>10</v>
      </c>
      <c r="I9" s="10" t="n">
        <v>1</v>
      </c>
      <c r="J9" s="10" t="n">
        <v>3</v>
      </c>
      <c r="K9" s="7" t="n">
        <f aca="false">IFERROR(E9/(B9*$N$2),0)</f>
        <v>0.224089635854342</v>
      </c>
    </row>
    <row r="10" customFormat="false" ht="15" hidden="false" customHeight="false" outlineLevel="0" collapsed="false">
      <c r="A10" s="11" t="s">
        <v>19</v>
      </c>
      <c r="B10" s="12" t="n">
        <v>3.57</v>
      </c>
      <c r="C10" s="13" t="n">
        <v>10.22</v>
      </c>
      <c r="D10" s="14" t="n">
        <f aca="false">IFERROR(B10/C10,0)</f>
        <v>0.349315068493151</v>
      </c>
      <c r="E10" s="15" t="n">
        <v>16</v>
      </c>
      <c r="F10" s="15" t="n">
        <v>0</v>
      </c>
      <c r="G10" s="15" t="n">
        <v>1</v>
      </c>
      <c r="H10" s="15" t="n">
        <v>15</v>
      </c>
      <c r="I10" s="15" t="n">
        <v>1</v>
      </c>
      <c r="J10" s="15" t="n">
        <v>3</v>
      </c>
      <c r="K10" s="12" t="n">
        <f aca="false">IFERROR(E10/(B10*$N$2),0)</f>
        <v>0.298786181139122</v>
      </c>
    </row>
    <row r="11" customFormat="false" ht="15" hidden="false" customHeight="false" outlineLevel="0" collapsed="false">
      <c r="A11" s="6" t="s">
        <v>20</v>
      </c>
      <c r="B11" s="7" t="n">
        <v>3.49</v>
      </c>
      <c r="C11" s="8" t="n">
        <v>11.91</v>
      </c>
      <c r="D11" s="9" t="n">
        <f aca="false">IFERROR(B11/C11,0)</f>
        <v>0.293031066330814</v>
      </c>
      <c r="E11" s="10" t="n">
        <v>26</v>
      </c>
      <c r="F11" s="10" t="n">
        <v>0</v>
      </c>
      <c r="G11" s="10" t="n">
        <v>9</v>
      </c>
      <c r="H11" s="10" t="n">
        <v>17</v>
      </c>
      <c r="I11" s="10" t="n">
        <v>3</v>
      </c>
      <c r="J11" s="10" t="n">
        <v>7</v>
      </c>
      <c r="K11" s="7" t="n">
        <f aca="false">IFERROR(E11/(B11*$N$2),0)</f>
        <v>0.49665711556829</v>
      </c>
    </row>
    <row r="12" customFormat="false" ht="15" hidden="false" customHeight="false" outlineLevel="0" collapsed="false">
      <c r="A12" s="11" t="s">
        <v>21</v>
      </c>
      <c r="B12" s="12" t="n">
        <v>2.75</v>
      </c>
      <c r="C12" s="13" t="n">
        <v>12.59</v>
      </c>
      <c r="D12" s="14" t="n">
        <f aca="false">IFERROR(B12/C12,0)</f>
        <v>0.218427323272438</v>
      </c>
      <c r="E12" s="15" t="n">
        <v>11</v>
      </c>
      <c r="F12" s="15" t="n">
        <v>0</v>
      </c>
      <c r="G12" s="15" t="n">
        <v>2</v>
      </c>
      <c r="H12" s="15" t="n">
        <v>9</v>
      </c>
      <c r="I12" s="15" t="n">
        <v>3</v>
      </c>
      <c r="J12" s="15" t="n">
        <v>5</v>
      </c>
      <c r="K12" s="12" t="n">
        <f aca="false">IFERROR(E12/(B12*$N$2),0)</f>
        <v>0.266666666666667</v>
      </c>
    </row>
    <row r="13" customFormat="false" ht="15" hidden="false" customHeight="false" outlineLevel="0" collapsed="false">
      <c r="A13" s="6" t="s">
        <v>22</v>
      </c>
      <c r="B13" s="7" t="n">
        <v>2.55</v>
      </c>
      <c r="C13" s="8" t="n">
        <v>7</v>
      </c>
      <c r="D13" s="9" t="n">
        <f aca="false">IFERROR(B13/C13,0)</f>
        <v>0.364285714285714</v>
      </c>
      <c r="E13" s="10" t="n">
        <v>23</v>
      </c>
      <c r="F13" s="10" t="n">
        <v>0</v>
      </c>
      <c r="G13" s="10" t="n">
        <v>5</v>
      </c>
      <c r="H13" s="10" t="n">
        <v>18</v>
      </c>
      <c r="I13" s="10" t="n">
        <v>2</v>
      </c>
      <c r="J13" s="10" t="n">
        <v>8</v>
      </c>
      <c r="K13" s="7" t="n">
        <f aca="false">IFERROR(E13/(B13*$N$2),0)</f>
        <v>0.601307189542484</v>
      </c>
    </row>
    <row r="14" customFormat="false" ht="15" hidden="false" customHeight="false" outlineLevel="0" collapsed="false">
      <c r="A14" s="11" t="s">
        <v>23</v>
      </c>
      <c r="B14" s="12" t="n">
        <v>2.14</v>
      </c>
      <c r="C14" s="13" t="n">
        <v>9.13</v>
      </c>
      <c r="D14" s="14" t="n">
        <f aca="false">IFERROR(B14/C14,0)</f>
        <v>0.234392113910186</v>
      </c>
      <c r="E14" s="15" t="n">
        <v>43</v>
      </c>
      <c r="F14" s="15" t="n">
        <v>1</v>
      </c>
      <c r="G14" s="15" t="n">
        <v>11</v>
      </c>
      <c r="H14" s="15" t="n">
        <v>31</v>
      </c>
      <c r="I14" s="15" t="n">
        <v>4</v>
      </c>
      <c r="J14" s="15" t="n">
        <v>10</v>
      </c>
      <c r="K14" s="12" t="n">
        <f aca="false">IFERROR(E14/(B14*$N$2),0)</f>
        <v>1.33956386292835</v>
      </c>
    </row>
    <row r="15" customFormat="false" ht="15" hidden="false" customHeight="false" outlineLevel="0" collapsed="false">
      <c r="A15" s="6" t="s">
        <v>24</v>
      </c>
      <c r="B15" s="7" t="n">
        <v>2.11</v>
      </c>
      <c r="C15" s="8" t="n">
        <v>8.85</v>
      </c>
      <c r="D15" s="9" t="n">
        <f aca="false">IFERROR(B15/C15,0)</f>
        <v>0.238418079096045</v>
      </c>
      <c r="E15" s="10" t="n">
        <v>4</v>
      </c>
      <c r="F15" s="10" t="n">
        <v>0</v>
      </c>
      <c r="G15" s="10" t="n">
        <v>2</v>
      </c>
      <c r="H15" s="10" t="n">
        <v>2</v>
      </c>
      <c r="I15" s="10" t="n">
        <v>0</v>
      </c>
      <c r="J15" s="10" t="n">
        <v>3</v>
      </c>
      <c r="K15" s="7" t="n">
        <f aca="false">IFERROR(E15/(B15*$N$2),0)</f>
        <v>0.126382306477093</v>
      </c>
    </row>
    <row r="16" customFormat="false" ht="15" hidden="false" customHeight="false" outlineLevel="0" collapsed="false">
      <c r="A16" s="11" t="s">
        <v>25</v>
      </c>
      <c r="B16" s="12" t="n">
        <v>1.95</v>
      </c>
      <c r="C16" s="13" t="n">
        <v>6.17</v>
      </c>
      <c r="D16" s="14" t="n">
        <f aca="false">IFERROR(B16/C16,0)</f>
        <v>0.316045380875203</v>
      </c>
      <c r="E16" s="15" t="n">
        <v>6</v>
      </c>
      <c r="F16" s="15" t="n">
        <v>0</v>
      </c>
      <c r="G16" s="15" t="n">
        <v>2</v>
      </c>
      <c r="H16" s="15" t="n">
        <v>4</v>
      </c>
      <c r="I16" s="15" t="n">
        <v>0</v>
      </c>
      <c r="J16" s="15" t="n">
        <v>1</v>
      </c>
      <c r="K16" s="12" t="n">
        <f aca="false">IFERROR(E16/(B16*$N$2),0)</f>
        <v>0.205128205128205</v>
      </c>
    </row>
    <row r="17" customFormat="false" ht="15" hidden="false" customHeight="false" outlineLevel="0" collapsed="false">
      <c r="A17" s="6" t="s">
        <v>26</v>
      </c>
      <c r="B17" s="7" t="n">
        <v>1.69</v>
      </c>
      <c r="C17" s="8" t="n">
        <v>3.21</v>
      </c>
      <c r="D17" s="9" t="n">
        <f aca="false">IFERROR(B17/C17,0)</f>
        <v>0.526479750778816</v>
      </c>
      <c r="E17" s="10" t="n">
        <v>5</v>
      </c>
      <c r="F17" s="10" t="n">
        <v>0</v>
      </c>
      <c r="G17" s="10" t="n">
        <v>2</v>
      </c>
      <c r="H17" s="10" t="n">
        <v>3</v>
      </c>
      <c r="I17" s="10" t="n">
        <v>1</v>
      </c>
      <c r="J17" s="10" t="n">
        <v>2</v>
      </c>
      <c r="K17" s="7" t="n">
        <f aca="false">IFERROR(E17/(B17*$N$2),0)</f>
        <v>0.19723865877712</v>
      </c>
    </row>
    <row r="18" customFormat="false" ht="15" hidden="false" customHeight="false" outlineLevel="0" collapsed="false">
      <c r="A18" s="11" t="s">
        <v>27</v>
      </c>
      <c r="B18" s="12" t="n">
        <v>1.52</v>
      </c>
      <c r="C18" s="13" t="n">
        <v>5.43</v>
      </c>
      <c r="D18" s="14" t="n">
        <f aca="false">IFERROR(B18/C18,0)</f>
        <v>0.279926335174954</v>
      </c>
      <c r="E18" s="15" t="n">
        <v>7</v>
      </c>
      <c r="F18" s="15" t="n">
        <v>0</v>
      </c>
      <c r="G18" s="15" t="n">
        <v>1</v>
      </c>
      <c r="H18" s="15" t="n">
        <v>6</v>
      </c>
      <c r="I18" s="15" t="n">
        <v>0</v>
      </c>
      <c r="J18" s="15" t="n">
        <v>6</v>
      </c>
      <c r="K18" s="12" t="n">
        <f aca="false">IFERROR(E18/(B18*$N$2),0)</f>
        <v>0.307017543859649</v>
      </c>
    </row>
    <row r="19" customFormat="false" ht="15" hidden="false" customHeight="false" outlineLevel="0" collapsed="false">
      <c r="A19" s="6" t="s">
        <v>28</v>
      </c>
      <c r="B19" s="7" t="n">
        <v>1.41</v>
      </c>
      <c r="C19" s="8" t="n">
        <v>9.05</v>
      </c>
      <c r="D19" s="9" t="n">
        <f aca="false">IFERROR(B19/C19,0)</f>
        <v>0.155801104972376</v>
      </c>
      <c r="E19" s="10" t="n">
        <v>2</v>
      </c>
      <c r="F19" s="10" t="n">
        <v>0</v>
      </c>
      <c r="G19" s="10" t="n">
        <v>0</v>
      </c>
      <c r="H19" s="10" t="n">
        <v>2</v>
      </c>
      <c r="I19" s="10" t="n">
        <v>0</v>
      </c>
      <c r="J19" s="10" t="n">
        <v>0</v>
      </c>
      <c r="K19" s="7" t="n">
        <f aca="false">IFERROR(E19/(B19*$N$2),0)</f>
        <v>0.0945626477541371</v>
      </c>
    </row>
    <row r="20" customFormat="false" ht="15" hidden="false" customHeight="false" outlineLevel="0" collapsed="false">
      <c r="A20" s="11" t="s">
        <v>29</v>
      </c>
      <c r="B20" s="12" t="n">
        <v>1.32</v>
      </c>
      <c r="C20" s="13" t="n">
        <v>6.9</v>
      </c>
      <c r="D20" s="14" t="n">
        <f aca="false">IFERROR(B20/C20,0)</f>
        <v>0.191304347826087</v>
      </c>
      <c r="E20" s="15" t="n">
        <v>4</v>
      </c>
      <c r="F20" s="15" t="n">
        <v>0</v>
      </c>
      <c r="G20" s="15" t="n">
        <v>0</v>
      </c>
      <c r="H20" s="15" t="n">
        <v>4</v>
      </c>
      <c r="I20" s="15" t="n">
        <v>0</v>
      </c>
      <c r="J20" s="15" t="n">
        <v>1</v>
      </c>
      <c r="K20" s="12" t="n">
        <f aca="false">IFERROR(E20/(B20*$N$2),0)</f>
        <v>0.202020202020202</v>
      </c>
    </row>
    <row r="21" customFormat="false" ht="15" hidden="false" customHeight="false" outlineLevel="0" collapsed="false">
      <c r="A21" s="6" t="s">
        <v>30</v>
      </c>
      <c r="B21" s="7" t="n">
        <v>1.32</v>
      </c>
      <c r="C21" s="8" t="n">
        <v>7.11</v>
      </c>
      <c r="D21" s="9" t="n">
        <f aca="false">IFERROR(B21/C21,0)</f>
        <v>0.185654008438819</v>
      </c>
      <c r="E21" s="10" t="n">
        <v>4</v>
      </c>
      <c r="F21" s="10" t="n">
        <v>0</v>
      </c>
      <c r="G21" s="10" t="n">
        <v>2</v>
      </c>
      <c r="H21" s="10" t="n">
        <v>2</v>
      </c>
      <c r="I21" s="10" t="n">
        <v>0</v>
      </c>
      <c r="J21" s="10" t="n">
        <v>0</v>
      </c>
      <c r="K21" s="7" t="n">
        <f aca="false">IFERROR(E21/(B21*$N$2),0)</f>
        <v>0.202020202020202</v>
      </c>
    </row>
    <row r="22" customFormat="false" ht="15" hidden="false" customHeight="false" outlineLevel="0" collapsed="false">
      <c r="A22" s="11" t="s">
        <v>31</v>
      </c>
      <c r="B22" s="12" t="n">
        <v>1.2</v>
      </c>
      <c r="C22" s="13" t="n">
        <v>5.17</v>
      </c>
      <c r="D22" s="14" t="n">
        <f aca="false">IFERROR(B22/C22,0)</f>
        <v>0.2321083172147</v>
      </c>
      <c r="E22" s="15" t="n">
        <v>4</v>
      </c>
      <c r="F22" s="15" t="n">
        <v>0</v>
      </c>
      <c r="G22" s="15" t="n">
        <v>1</v>
      </c>
      <c r="H22" s="15" t="n">
        <v>3</v>
      </c>
      <c r="I22" s="15" t="n">
        <v>0</v>
      </c>
      <c r="J22" s="15" t="n">
        <v>1</v>
      </c>
      <c r="K22" s="12" t="n">
        <f aca="false">IFERROR(E22/(B22*$N$2),0)</f>
        <v>0.222222222222222</v>
      </c>
    </row>
    <row r="23" customFormat="false" ht="15" hidden="false" customHeight="false" outlineLevel="0" collapsed="false">
      <c r="A23" s="6" t="s">
        <v>32</v>
      </c>
      <c r="B23" s="7" t="n">
        <v>1.2</v>
      </c>
      <c r="C23" s="8" t="n">
        <v>1.51</v>
      </c>
      <c r="D23" s="9" t="n">
        <f aca="false">IFERROR(B23/C23,0)</f>
        <v>0.794701986754967</v>
      </c>
      <c r="E23" s="10" t="n">
        <v>6</v>
      </c>
      <c r="F23" s="10" t="n">
        <v>0</v>
      </c>
      <c r="G23" s="10" t="n">
        <v>1</v>
      </c>
      <c r="H23" s="10" t="n">
        <v>5</v>
      </c>
      <c r="I23" s="10" t="n">
        <v>1</v>
      </c>
      <c r="J23" s="10" t="n">
        <v>1</v>
      </c>
      <c r="K23" s="7" t="n">
        <f aca="false">IFERROR(E23/(B23*$N$2),0)</f>
        <v>0.333333333333333</v>
      </c>
    </row>
    <row r="24" customFormat="false" ht="15" hidden="false" customHeight="false" outlineLevel="0" collapsed="false">
      <c r="A24" s="11" t="s">
        <v>33</v>
      </c>
      <c r="B24" s="12" t="n">
        <v>1.16</v>
      </c>
      <c r="C24" s="13" t="n">
        <v>6.92</v>
      </c>
      <c r="D24" s="14" t="n">
        <f aca="false">IFERROR(B24/C24,0)</f>
        <v>0.167630057803468</v>
      </c>
      <c r="E24" s="15" t="n">
        <v>4</v>
      </c>
      <c r="F24" s="15" t="n">
        <v>0</v>
      </c>
      <c r="G24" s="15" t="n">
        <v>1</v>
      </c>
      <c r="H24" s="15" t="n">
        <v>3</v>
      </c>
      <c r="I24" s="15" t="n">
        <v>1</v>
      </c>
      <c r="J24" s="15" t="n">
        <v>2</v>
      </c>
      <c r="K24" s="12" t="n">
        <f aca="false">IFERROR(E24/(B24*$N$2),0)</f>
        <v>0.229885057471264</v>
      </c>
    </row>
    <row r="25" customFormat="false" ht="15" hidden="false" customHeight="false" outlineLevel="0" collapsed="false">
      <c r="A25" s="6" t="s">
        <v>34</v>
      </c>
      <c r="B25" s="7" t="n">
        <v>0.97</v>
      </c>
      <c r="C25" s="8" t="n">
        <v>5.36</v>
      </c>
      <c r="D25" s="9" t="n">
        <f aca="false">IFERROR(B25/C25,0)</f>
        <v>0.180970149253731</v>
      </c>
      <c r="E25" s="10" t="n">
        <v>10</v>
      </c>
      <c r="F25" s="10" t="n">
        <v>0</v>
      </c>
      <c r="G25" s="10" t="n">
        <v>3</v>
      </c>
      <c r="H25" s="10" t="n">
        <v>7</v>
      </c>
      <c r="I25" s="10" t="n">
        <v>3</v>
      </c>
      <c r="J25" s="10" t="n">
        <v>1</v>
      </c>
      <c r="K25" s="7" t="n">
        <f aca="false">IFERROR(E25/(B25*$N$2),0)</f>
        <v>0.687285223367698</v>
      </c>
    </row>
    <row r="26" customFormat="false" ht="15" hidden="false" customHeight="false" outlineLevel="0" collapsed="false">
      <c r="A26" s="11" t="s">
        <v>35</v>
      </c>
      <c r="B26" s="12" t="n">
        <v>0.92</v>
      </c>
      <c r="C26" s="13" t="n">
        <v>7.61</v>
      </c>
      <c r="D26" s="14" t="n">
        <f aca="false">IFERROR(B26/C26,0)</f>
        <v>0.120893561103811</v>
      </c>
      <c r="E26" s="15" t="n">
        <v>0</v>
      </c>
      <c r="F26" s="15" t="n">
        <v>0</v>
      </c>
      <c r="G26" s="15" t="n">
        <v>0</v>
      </c>
      <c r="H26" s="15" t="n">
        <v>0</v>
      </c>
      <c r="I26" s="15" t="n">
        <v>0</v>
      </c>
      <c r="J26" s="15" t="n">
        <v>0</v>
      </c>
      <c r="K26" s="12" t="n">
        <f aca="false">IFERROR(E26/(B26*$N$2),0)</f>
        <v>0</v>
      </c>
    </row>
    <row r="27" customFormat="false" ht="15" hidden="false" customHeight="false" outlineLevel="0" collapsed="false">
      <c r="A27" s="6" t="s">
        <v>36</v>
      </c>
      <c r="B27" s="7" t="n">
        <v>0.73</v>
      </c>
      <c r="C27" s="8" t="n">
        <v>7.12</v>
      </c>
      <c r="D27" s="9" t="n">
        <f aca="false">IFERROR(B27/C27,0)</f>
        <v>0.10252808988764</v>
      </c>
      <c r="E27" s="10" t="n">
        <v>0</v>
      </c>
      <c r="F27" s="10" t="n">
        <v>0</v>
      </c>
      <c r="G27" s="10" t="n">
        <v>0</v>
      </c>
      <c r="H27" s="10" t="n">
        <v>0</v>
      </c>
      <c r="I27" s="10" t="n">
        <v>0</v>
      </c>
      <c r="J27" s="10" t="n">
        <v>0</v>
      </c>
      <c r="K27" s="7" t="n">
        <f aca="false">IFERROR(E27/(B27*$N$2),0)</f>
        <v>0</v>
      </c>
    </row>
    <row r="28" customFormat="false" ht="15" hidden="false" customHeight="false" outlineLevel="0" collapsed="false">
      <c r="A28" s="11" t="s">
        <v>37</v>
      </c>
      <c r="B28" s="12" t="n">
        <v>0.67</v>
      </c>
      <c r="C28" s="13" t="n">
        <v>5.43</v>
      </c>
      <c r="D28" s="14" t="n">
        <f aca="false">IFERROR(B28/C28,0)</f>
        <v>0.123388581952118</v>
      </c>
      <c r="E28" s="15" t="n">
        <v>0</v>
      </c>
      <c r="F28" s="15" t="n">
        <v>0</v>
      </c>
      <c r="G28" s="15" t="n">
        <v>0</v>
      </c>
      <c r="H28" s="15" t="n">
        <v>0</v>
      </c>
      <c r="I28" s="15" t="n">
        <v>0</v>
      </c>
      <c r="J28" s="15" t="n">
        <v>0</v>
      </c>
      <c r="K28" s="12" t="n">
        <f aca="false">IFERROR(E28/(B28*$N$2),0)</f>
        <v>0</v>
      </c>
    </row>
    <row r="29" customFormat="false" ht="15" hidden="false" customHeight="false" outlineLevel="0" collapsed="false">
      <c r="A29" s="6" t="s">
        <v>38</v>
      </c>
      <c r="B29" s="7" t="n">
        <v>0.57</v>
      </c>
      <c r="C29" s="8" t="n">
        <v>2.59</v>
      </c>
      <c r="D29" s="9" t="n">
        <f aca="false">IFERROR(B29/C29,0)</f>
        <v>0.22007722007722</v>
      </c>
      <c r="E29" s="10" t="n">
        <v>2</v>
      </c>
      <c r="F29" s="10" t="n">
        <v>0</v>
      </c>
      <c r="G29" s="10" t="n">
        <v>0</v>
      </c>
      <c r="H29" s="10" t="n">
        <v>2</v>
      </c>
      <c r="I29" s="10" t="n">
        <v>1</v>
      </c>
      <c r="J29" s="10" t="n">
        <v>0</v>
      </c>
      <c r="K29" s="7" t="n">
        <f aca="false">IFERROR(E29/(B29*$N$2),0)</f>
        <v>0.233918128654971</v>
      </c>
    </row>
    <row r="30" customFormat="false" ht="15" hidden="false" customHeight="false" outlineLevel="0" collapsed="false">
      <c r="A30" s="11" t="s">
        <v>39</v>
      </c>
      <c r="B30" s="12" t="n">
        <v>0.49</v>
      </c>
      <c r="C30" s="13" t="n">
        <v>1.67</v>
      </c>
      <c r="D30" s="14" t="n">
        <f aca="false">IFERROR(B30/C30,0)</f>
        <v>0.293413173652695</v>
      </c>
      <c r="E30" s="15" t="n">
        <v>1</v>
      </c>
      <c r="F30" s="15" t="n">
        <v>0</v>
      </c>
      <c r="G30" s="15" t="n">
        <v>0</v>
      </c>
      <c r="H30" s="15" t="n">
        <v>1</v>
      </c>
      <c r="I30" s="15" t="n">
        <v>1</v>
      </c>
      <c r="J30" s="15" t="n">
        <v>0</v>
      </c>
      <c r="K30" s="12" t="n">
        <f aca="false">IFERROR(E30/(B30*$N$2),0)</f>
        <v>0.136054421768708</v>
      </c>
    </row>
    <row r="31" customFormat="false" ht="15" hidden="false" customHeight="false" outlineLevel="0" collapsed="false">
      <c r="A31" s="16" t="s">
        <v>40</v>
      </c>
      <c r="B31" s="17" t="n">
        <f aca="false">SUM(B5:B30)</f>
        <v>80.38</v>
      </c>
      <c r="C31" s="17" t="n">
        <f aca="false">SUM(C5:C30)</f>
        <v>227.4</v>
      </c>
      <c r="D31" s="18" t="n">
        <f aca="false">IFERROR(B31/C31,0)</f>
        <v>0.353474054529463</v>
      </c>
      <c r="E31" s="19" t="n">
        <f aca="false">SUM(E5:E30)</f>
        <v>1189</v>
      </c>
      <c r="F31" s="19" t="n">
        <f aca="false">SUM(F5:F30)</f>
        <v>4</v>
      </c>
      <c r="G31" s="19" t="n">
        <f aca="false">SUM(G5:G30)</f>
        <v>229</v>
      </c>
      <c r="H31" s="19" t="n">
        <f aca="false">SUM(H5:H30)</f>
        <v>956</v>
      </c>
      <c r="I31" s="19" t="n">
        <f aca="false">SUM(I5:I30)</f>
        <v>144</v>
      </c>
      <c r="J31" s="19" t="n">
        <f aca="false">SUM(J5:J30)</f>
        <v>327</v>
      </c>
      <c r="K31" s="20" t="n">
        <f aca="false">IFERROR(E31/(B31*$N$2),0)</f>
        <v>0.986149124989633</v>
      </c>
    </row>
    <row r="33" customFormat="false" ht="15" hidden="false" customHeight="false" outlineLevel="0" collapsed="false">
      <c r="A33" s="21" t="s">
        <v>41</v>
      </c>
      <c r="B33" s="21"/>
      <c r="C33" s="21"/>
      <c r="D33" s="21"/>
      <c r="E33" s="21"/>
      <c r="F33" s="21"/>
      <c r="G33" s="21"/>
      <c r="H33" s="21"/>
      <c r="I33" s="21"/>
      <c r="J33" s="21"/>
      <c r="K33" s="21"/>
    </row>
  </sheetData>
  <mergeCells count="3">
    <mergeCell ref="A1:K1"/>
    <mergeCell ref="A2:K2"/>
    <mergeCell ref="A33:K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13"/>
    <col collapsed="false" customWidth="true" hidden="false" outlineLevel="0" max="4" min="4" style="0" width="14"/>
    <col collapsed="false" customWidth="true" hidden="false" outlineLevel="0" max="5" min="5" style="0" width="7"/>
    <col collapsed="false" customWidth="true" hidden="false" outlineLevel="0" max="7" min="6" style="0" width="8"/>
    <col collapsed="false" customWidth="true" hidden="false" outlineLevel="0" max="8" min="8" style="0" width="14"/>
    <col collapsed="false" customWidth="true" hidden="false" outlineLevel="0" max="9" min="9" style="0" width="13"/>
    <col collapsed="false" customWidth="true" hidden="false" outlineLevel="0" max="10" min="10" style="0" width="9"/>
    <col collapsed="false" customWidth="true" hidden="false" outlineLevel="0" max="11" min="11" style="0" width="13"/>
    <col collapsed="false" customWidth="true" hidden="false" outlineLevel="0" max="12" min="12" style="0" width="14"/>
  </cols>
  <sheetData>
    <row r="1" customFormat="false" ht="16.15" hidden="false" customHeight="false" outlineLevel="0" collapsed="false">
      <c r="A1" s="1" t="s">
        <v>42</v>
      </c>
      <c r="B1" s="1"/>
      <c r="C1" s="1"/>
      <c r="D1" s="1"/>
      <c r="E1" s="1"/>
      <c r="F1" s="1"/>
      <c r="G1" s="1"/>
      <c r="H1" s="1"/>
      <c r="I1" s="1"/>
      <c r="J1" s="1"/>
      <c r="K1" s="1"/>
      <c r="L1" s="1"/>
    </row>
    <row r="2" customFormat="false" ht="45.75" hidden="false" customHeight="true" outlineLevel="0" collapsed="false">
      <c r="A2" s="2" t="s">
        <v>43</v>
      </c>
      <c r="B2" s="2"/>
      <c r="C2" s="2"/>
      <c r="D2" s="2"/>
      <c r="E2" s="2"/>
      <c r="F2" s="2"/>
      <c r="G2" s="2"/>
      <c r="H2" s="2"/>
      <c r="I2" s="2"/>
      <c r="J2" s="2"/>
      <c r="K2" s="2"/>
      <c r="L2" s="2"/>
    </row>
    <row r="4" customFormat="false" ht="15" hidden="false" customHeight="false" outlineLevel="0" collapsed="false">
      <c r="A4" s="22" t="s">
        <v>44</v>
      </c>
    </row>
    <row r="5" customFormat="false" ht="15" hidden="false" customHeight="false" outlineLevel="0" collapsed="false">
      <c r="A5" s="23" t="s">
        <v>45</v>
      </c>
      <c r="B5" s="24" t="n">
        <v>42.5</v>
      </c>
      <c r="C5" s="3" t="s">
        <v>46</v>
      </c>
    </row>
    <row r="6" customFormat="false" ht="15" hidden="false" customHeight="false" outlineLevel="0" collapsed="false">
      <c r="A6" s="23" t="s">
        <v>47</v>
      </c>
      <c r="B6" s="25" t="n">
        <v>20</v>
      </c>
      <c r="C6" s="3" t="s">
        <v>48</v>
      </c>
    </row>
    <row r="7" customFormat="false" ht="15" hidden="false" customHeight="false" outlineLevel="0" collapsed="false">
      <c r="A7" s="23" t="s">
        <v>49</v>
      </c>
      <c r="B7" s="25" t="n">
        <v>48</v>
      </c>
      <c r="C7" s="3" t="s">
        <v>50</v>
      </c>
    </row>
    <row r="8" customFormat="false" ht="15" hidden="false" customHeight="false" outlineLevel="0" collapsed="false">
      <c r="A8" s="23" t="s">
        <v>51</v>
      </c>
      <c r="B8" s="25" t="n">
        <v>365</v>
      </c>
      <c r="C8" s="3"/>
    </row>
    <row r="9" customFormat="false" ht="15" hidden="false" customHeight="false" outlineLevel="0" collapsed="false">
      <c r="A9" s="23" t="s">
        <v>52</v>
      </c>
      <c r="B9" s="26" t="n">
        <v>3170000</v>
      </c>
      <c r="C9" s="3" t="s">
        <v>53</v>
      </c>
    </row>
    <row r="10" customFormat="false" ht="15" hidden="false" customHeight="false" outlineLevel="0" collapsed="false">
      <c r="A10" s="23" t="s">
        <v>54</v>
      </c>
      <c r="B10" s="26" t="n">
        <v>530000</v>
      </c>
      <c r="C10" s="3" t="s">
        <v>55</v>
      </c>
    </row>
    <row r="11" customFormat="false" ht="15" hidden="false" customHeight="false" outlineLevel="0" collapsed="false">
      <c r="A11" s="23" t="s">
        <v>56</v>
      </c>
      <c r="B11" s="26" t="n">
        <v>33000</v>
      </c>
      <c r="C11" s="3" t="s">
        <v>55</v>
      </c>
    </row>
    <row r="12" customFormat="false" ht="15" hidden="false" customHeight="false" outlineLevel="0" collapsed="false">
      <c r="A12" s="23" t="s">
        <v>57</v>
      </c>
      <c r="B12" s="27" t="n">
        <v>0.2</v>
      </c>
      <c r="C12" s="3" t="s">
        <v>58</v>
      </c>
    </row>
    <row r="13" customFormat="false" ht="15" hidden="false" customHeight="false" outlineLevel="0" collapsed="false">
      <c r="A13" s="23" t="s">
        <v>59</v>
      </c>
      <c r="B13" s="25" t="n">
        <v>15</v>
      </c>
      <c r="C13" s="3" t="s">
        <v>60</v>
      </c>
    </row>
    <row r="14" customFormat="false" ht="15" hidden="false" customHeight="false" outlineLevel="0" collapsed="false">
      <c r="A14" s="23" t="s">
        <v>61</v>
      </c>
      <c r="B14" s="27" t="n">
        <v>1</v>
      </c>
      <c r="C14" s="3" t="s">
        <v>62</v>
      </c>
    </row>
    <row r="15" customFormat="false" ht="15" hidden="false" customHeight="false" outlineLevel="0" collapsed="false">
      <c r="A15" s="23" t="s">
        <v>63</v>
      </c>
      <c r="B15" s="26" t="n">
        <v>900000</v>
      </c>
      <c r="C15" s="3" t="s">
        <v>64</v>
      </c>
    </row>
    <row r="16" customFormat="false" ht="15" hidden="false" customHeight="false" outlineLevel="0" collapsed="false">
      <c r="A16" s="23" t="s">
        <v>65</v>
      </c>
      <c r="B16" s="27" t="n">
        <v>0.005</v>
      </c>
      <c r="C16" s="3" t="s">
        <v>66</v>
      </c>
    </row>
    <row r="17" customFormat="false" ht="15" hidden="false" customHeight="false" outlineLevel="0" collapsed="false">
      <c r="A17" s="23" t="s">
        <v>67</v>
      </c>
      <c r="B17" s="25" t="n">
        <v>3</v>
      </c>
      <c r="C17" s="3" t="s">
        <v>68</v>
      </c>
    </row>
    <row r="18" customFormat="false" ht="15" hidden="false" customHeight="false" outlineLevel="0" collapsed="false">
      <c r="A18" s="23" t="s">
        <v>69</v>
      </c>
      <c r="B18" s="27" t="n">
        <v>0.03</v>
      </c>
      <c r="C18" s="3" t="s">
        <v>70</v>
      </c>
    </row>
    <row r="20" customFormat="false" ht="39.75" hidden="false" customHeight="true" outlineLevel="0" collapsed="false">
      <c r="A20" s="5" t="s">
        <v>3</v>
      </c>
      <c r="B20" s="5" t="s">
        <v>71</v>
      </c>
      <c r="C20" s="5" t="s">
        <v>72</v>
      </c>
      <c r="D20" s="5" t="s">
        <v>73</v>
      </c>
      <c r="E20" s="5" t="s">
        <v>74</v>
      </c>
      <c r="F20" s="5" t="s">
        <v>75</v>
      </c>
      <c r="G20" s="5" t="s">
        <v>76</v>
      </c>
      <c r="H20" s="5" t="s">
        <v>77</v>
      </c>
      <c r="I20" s="5" t="s">
        <v>78</v>
      </c>
      <c r="J20" s="5" t="s">
        <v>79</v>
      </c>
      <c r="K20" s="5" t="s">
        <v>80</v>
      </c>
      <c r="L20" s="5" t="s">
        <v>81</v>
      </c>
    </row>
    <row r="21" customFormat="false" ht="15" hidden="false" customHeight="false" outlineLevel="0" collapsed="false">
      <c r="A21" s="6" t="s">
        <v>14</v>
      </c>
      <c r="B21" s="7" t="n">
        <v>22.52</v>
      </c>
      <c r="C21" s="28" t="n">
        <v>153211</v>
      </c>
      <c r="D21" s="28" t="n">
        <f aca="false">C21*$B$6/3600*$B$8*$B$5*$B$14</f>
        <v>13203809.0972222</v>
      </c>
      <c r="E21" s="10" t="n">
        <v>2</v>
      </c>
      <c r="F21" s="10" t="n">
        <v>107</v>
      </c>
      <c r="G21" s="10" t="n">
        <v>521</v>
      </c>
      <c r="H21" s="28" t="n">
        <f aca="false">(E21*$B$9+F21*$B$10+G21*$B$11)/$B$13</f>
        <v>5349533.33333333</v>
      </c>
      <c r="I21" s="28" t="n">
        <f aca="false">H21*$B$12*$B$14</f>
        <v>1069906.66666667</v>
      </c>
      <c r="J21" s="10" t="n">
        <v>1020</v>
      </c>
      <c r="K21" s="28" t="n">
        <f aca="false">J21*$B$15*$B$16*$B$17*$B$18*$B$14</f>
        <v>413100</v>
      </c>
      <c r="L21" s="29" t="n">
        <f aca="false">I21+K21-D21</f>
        <v>-11720802.4305556</v>
      </c>
    </row>
    <row r="22" customFormat="false" ht="15" hidden="false" customHeight="false" outlineLevel="0" collapsed="false">
      <c r="A22" s="11" t="s">
        <v>15</v>
      </c>
      <c r="B22" s="12" t="n">
        <v>9.7</v>
      </c>
      <c r="C22" s="30" t="n">
        <v>19273</v>
      </c>
      <c r="D22" s="30" t="n">
        <f aca="false">C22*$B$6/3600*$B$8*$B$5*$B$14</f>
        <v>1660957.84722222</v>
      </c>
      <c r="E22" s="15" t="n">
        <v>1</v>
      </c>
      <c r="F22" s="15" t="n">
        <v>18</v>
      </c>
      <c r="G22" s="15" t="n">
        <v>50</v>
      </c>
      <c r="H22" s="30" t="n">
        <f aca="false">(E22*$B$9+F22*$B$10+G22*$B$11)/$B$13</f>
        <v>957333.333333333</v>
      </c>
      <c r="I22" s="30" t="n">
        <f aca="false">H22*$B$12*$B$14</f>
        <v>191466.666666667</v>
      </c>
      <c r="J22" s="15" t="n">
        <v>44</v>
      </c>
      <c r="K22" s="30" t="n">
        <f aca="false">J22*$B$15*$B$16*$B$17*$B$18*$B$14</f>
        <v>17820</v>
      </c>
      <c r="L22" s="31" t="n">
        <f aca="false">I22+K22-D22</f>
        <v>-1451671.18055556</v>
      </c>
    </row>
    <row r="23" customFormat="false" ht="15" hidden="false" customHeight="false" outlineLevel="0" collapsed="false">
      <c r="A23" s="6" t="s">
        <v>16</v>
      </c>
      <c r="B23" s="7" t="n">
        <v>5.5</v>
      </c>
      <c r="C23" s="28" t="n">
        <v>59885</v>
      </c>
      <c r="D23" s="28" t="n">
        <f aca="false">C23*$B$6/3600*$B$8*$B$5*$B$14</f>
        <v>5160922.56944445</v>
      </c>
      <c r="E23" s="10" t="n">
        <v>0</v>
      </c>
      <c r="F23" s="10" t="n">
        <v>38</v>
      </c>
      <c r="G23" s="10" t="n">
        <v>180</v>
      </c>
      <c r="H23" s="28" t="n">
        <f aca="false">(E23*$B$9+F23*$B$10+G23*$B$11)/$B$13</f>
        <v>1738666.66666667</v>
      </c>
      <c r="I23" s="28" t="n">
        <f aca="false">H23*$B$12*$B$14</f>
        <v>347733.333333333</v>
      </c>
      <c r="J23" s="10" t="n">
        <v>140</v>
      </c>
      <c r="K23" s="28" t="n">
        <f aca="false">J23*$B$15*$B$16*$B$17*$B$18*$B$14</f>
        <v>56700</v>
      </c>
      <c r="L23" s="29" t="n">
        <f aca="false">I23+K23-D23</f>
        <v>-4756489.23611111</v>
      </c>
    </row>
    <row r="24" customFormat="false" ht="15" hidden="false" customHeight="false" outlineLevel="0" collapsed="false">
      <c r="A24" s="11" t="s">
        <v>17</v>
      </c>
      <c r="B24" s="12" t="n">
        <v>5.36</v>
      </c>
      <c r="C24" s="30" t="n">
        <v>24202</v>
      </c>
      <c r="D24" s="30" t="n">
        <f aca="false">C24*$B$6/3600*$B$8*$B$5*$B$14</f>
        <v>2085741.80555556</v>
      </c>
      <c r="E24" s="15" t="n">
        <v>0</v>
      </c>
      <c r="F24" s="15" t="n">
        <v>21</v>
      </c>
      <c r="G24" s="15" t="n">
        <v>61</v>
      </c>
      <c r="H24" s="30" t="n">
        <f aca="false">(E24*$B$9+F24*$B$10+G24*$B$11)/$B$13</f>
        <v>876200</v>
      </c>
      <c r="I24" s="30" t="n">
        <f aca="false">H24*$B$12*$B$14</f>
        <v>175240</v>
      </c>
      <c r="J24" s="15" t="n">
        <v>164</v>
      </c>
      <c r="K24" s="30" t="n">
        <f aca="false">J24*$B$15*$B$16*$B$17*$B$18*$B$14</f>
        <v>66420</v>
      </c>
      <c r="L24" s="31" t="n">
        <f aca="false">I24+K24-D24</f>
        <v>-1844081.80555556</v>
      </c>
    </row>
    <row r="25" customFormat="false" ht="15" hidden="false" customHeight="false" outlineLevel="0" collapsed="false">
      <c r="A25" s="6" t="s">
        <v>18</v>
      </c>
      <c r="B25" s="7" t="n">
        <v>3.57</v>
      </c>
      <c r="C25" s="28" t="n">
        <v>9578</v>
      </c>
      <c r="D25" s="28" t="n">
        <f aca="false">C25*$B$6/3600*$B$8*$B$5*$B$14</f>
        <v>825437.361111111</v>
      </c>
      <c r="E25" s="10" t="n">
        <v>0</v>
      </c>
      <c r="F25" s="10" t="n">
        <v>2</v>
      </c>
      <c r="G25" s="10" t="n">
        <v>10</v>
      </c>
      <c r="H25" s="28" t="n">
        <f aca="false">(E25*$B$9+F25*$B$10+G25*$B$11)/$B$13</f>
        <v>92666.6666666667</v>
      </c>
      <c r="I25" s="28" t="n">
        <f aca="false">H25*$B$12*$B$14</f>
        <v>18533.3333333333</v>
      </c>
      <c r="J25" s="10" t="n">
        <v>7</v>
      </c>
      <c r="K25" s="28" t="n">
        <f aca="false">J25*$B$15*$B$16*$B$17*$B$18*$B$14</f>
        <v>2835</v>
      </c>
      <c r="L25" s="29" t="n">
        <f aca="false">I25+K25-D25</f>
        <v>-804069.027777778</v>
      </c>
    </row>
    <row r="26" customFormat="false" ht="15" hidden="false" customHeight="false" outlineLevel="0" collapsed="false">
      <c r="A26" s="11" t="s">
        <v>19</v>
      </c>
      <c r="B26" s="12" t="n">
        <v>3.57</v>
      </c>
      <c r="C26" s="30" t="n">
        <v>6797</v>
      </c>
      <c r="D26" s="30" t="n">
        <f aca="false">C26*$B$6/3600*$B$8*$B$5*$B$14</f>
        <v>585769.236111111</v>
      </c>
      <c r="E26" s="15" t="n">
        <v>0</v>
      </c>
      <c r="F26" s="15" t="n">
        <v>1</v>
      </c>
      <c r="G26" s="15" t="n">
        <v>15</v>
      </c>
      <c r="H26" s="30" t="n">
        <f aca="false">(E26*$B$9+F26*$B$10+G26*$B$11)/$B$13</f>
        <v>68333.3333333333</v>
      </c>
      <c r="I26" s="30" t="n">
        <f aca="false">H26*$B$12*$B$14</f>
        <v>13666.6666666667</v>
      </c>
      <c r="J26" s="15" t="n">
        <v>4</v>
      </c>
      <c r="K26" s="30" t="n">
        <f aca="false">J26*$B$15*$B$16*$B$17*$B$18*$B$14</f>
        <v>1620</v>
      </c>
      <c r="L26" s="31" t="n">
        <f aca="false">I26+K26-D26</f>
        <v>-570482.569444445</v>
      </c>
    </row>
    <row r="27" customFormat="false" ht="15" hidden="false" customHeight="false" outlineLevel="0" collapsed="false">
      <c r="A27" s="6" t="s">
        <v>20</v>
      </c>
      <c r="B27" s="7" t="n">
        <v>3.49</v>
      </c>
      <c r="C27" s="28" t="n">
        <v>14332</v>
      </c>
      <c r="D27" s="28" t="n">
        <f aca="false">C27*$B$6/3600*$B$8*$B$5*$B$14</f>
        <v>1235139.72222222</v>
      </c>
      <c r="E27" s="10" t="n">
        <v>0</v>
      </c>
      <c r="F27" s="10" t="n">
        <v>9</v>
      </c>
      <c r="G27" s="10" t="n">
        <v>17</v>
      </c>
      <c r="H27" s="28" t="n">
        <f aca="false">(E27*$B$9+F27*$B$10+G27*$B$11)/$B$13</f>
        <v>355400</v>
      </c>
      <c r="I27" s="28" t="n">
        <f aca="false">H27*$B$12*$B$14</f>
        <v>71080</v>
      </c>
      <c r="J27" s="10" t="n">
        <v>15</v>
      </c>
      <c r="K27" s="28" t="n">
        <f aca="false">J27*$B$15*$B$16*$B$17*$B$18*$B$14</f>
        <v>6075</v>
      </c>
      <c r="L27" s="29" t="n">
        <f aca="false">I27+K27-D27</f>
        <v>-1157984.72222222</v>
      </c>
    </row>
    <row r="28" customFormat="false" ht="15" hidden="false" customHeight="false" outlineLevel="0" collapsed="false">
      <c r="A28" s="11" t="s">
        <v>21</v>
      </c>
      <c r="B28" s="12" t="n">
        <v>2.75</v>
      </c>
      <c r="C28" s="30" t="n">
        <v>5552</v>
      </c>
      <c r="D28" s="30" t="n">
        <f aca="false">C28*$B$6/3600*$B$8*$B$5*$B$14</f>
        <v>478474.444444444</v>
      </c>
      <c r="E28" s="15" t="n">
        <v>0</v>
      </c>
      <c r="F28" s="15" t="n">
        <v>2</v>
      </c>
      <c r="G28" s="15" t="n">
        <v>9</v>
      </c>
      <c r="H28" s="30" t="n">
        <f aca="false">(E28*$B$9+F28*$B$10+G28*$B$11)/$B$13</f>
        <v>90466.6666666667</v>
      </c>
      <c r="I28" s="30" t="n">
        <f aca="false">H28*$B$12*$B$14</f>
        <v>18093.3333333333</v>
      </c>
      <c r="J28" s="15" t="n">
        <v>19</v>
      </c>
      <c r="K28" s="30" t="n">
        <f aca="false">J28*$B$15*$B$16*$B$17*$B$18*$B$14</f>
        <v>7695</v>
      </c>
      <c r="L28" s="31" t="n">
        <f aca="false">I28+K28-D28</f>
        <v>-452686.111111111</v>
      </c>
    </row>
    <row r="29" customFormat="false" ht="15" hidden="false" customHeight="false" outlineLevel="0" collapsed="false">
      <c r="A29" s="6" t="s">
        <v>22</v>
      </c>
      <c r="B29" s="7" t="n">
        <v>2.55</v>
      </c>
      <c r="C29" s="28" t="n">
        <v>11511</v>
      </c>
      <c r="D29" s="28" t="n">
        <f aca="false">C29*$B$6/3600*$B$8*$B$5*$B$14</f>
        <v>992024.375</v>
      </c>
      <c r="E29" s="10" t="n">
        <v>0</v>
      </c>
      <c r="F29" s="10" t="n">
        <v>5</v>
      </c>
      <c r="G29" s="10" t="n">
        <v>18</v>
      </c>
      <c r="H29" s="28" t="n">
        <f aca="false">(E29*$B$9+F29*$B$10+G29*$B$11)/$B$13</f>
        <v>216266.666666667</v>
      </c>
      <c r="I29" s="28" t="n">
        <f aca="false">H29*$B$12*$B$14</f>
        <v>43253.3333333333</v>
      </c>
      <c r="J29" s="10" t="n">
        <v>26</v>
      </c>
      <c r="K29" s="28" t="n">
        <f aca="false">J29*$B$15*$B$16*$B$17*$B$18*$B$14</f>
        <v>10530</v>
      </c>
      <c r="L29" s="29" t="n">
        <f aca="false">I29+K29-D29</f>
        <v>-938241.041666667</v>
      </c>
    </row>
    <row r="30" customFormat="false" ht="15" hidden="false" customHeight="false" outlineLevel="0" collapsed="false">
      <c r="A30" s="11" t="s">
        <v>23</v>
      </c>
      <c r="B30" s="12" t="n">
        <v>2.14</v>
      </c>
      <c r="C30" s="30" t="n">
        <v>20593</v>
      </c>
      <c r="D30" s="30" t="n">
        <f aca="false">C30*$B$6/3600*$B$8*$B$5*$B$14</f>
        <v>1774716.18055556</v>
      </c>
      <c r="E30" s="15" t="n">
        <v>1</v>
      </c>
      <c r="F30" s="15" t="n">
        <v>11</v>
      </c>
      <c r="G30" s="15" t="n">
        <v>31</v>
      </c>
      <c r="H30" s="30" t="n">
        <f aca="false">(E30*$B$9+F30*$B$10+G30*$B$11)/$B$13</f>
        <v>668200</v>
      </c>
      <c r="I30" s="30" t="n">
        <f aca="false">H30*$B$12*$B$14</f>
        <v>133640</v>
      </c>
      <c r="J30" s="15" t="n">
        <v>200</v>
      </c>
      <c r="K30" s="30" t="n">
        <f aca="false">J30*$B$15*$B$16*$B$17*$B$18*$B$14</f>
        <v>81000</v>
      </c>
      <c r="L30" s="31" t="n">
        <f aca="false">I30+K30-D30</f>
        <v>-1560076.18055556</v>
      </c>
    </row>
    <row r="31" customFormat="false" ht="15" hidden="false" customHeight="false" outlineLevel="0" collapsed="false">
      <c r="A31" s="6" t="s">
        <v>24</v>
      </c>
      <c r="B31" s="7" t="n">
        <v>2.11</v>
      </c>
      <c r="C31" s="28" t="n">
        <v>4228</v>
      </c>
      <c r="D31" s="28" t="n">
        <f aca="false">C31*$B$6/3600*$B$8*$B$5*$B$14</f>
        <v>364371.388888889</v>
      </c>
      <c r="E31" s="10" t="n">
        <v>0</v>
      </c>
      <c r="F31" s="10" t="n">
        <v>2</v>
      </c>
      <c r="G31" s="10" t="n">
        <v>2</v>
      </c>
      <c r="H31" s="28" t="n">
        <f aca="false">(E31*$B$9+F31*$B$10+G31*$B$11)/$B$13</f>
        <v>75066.6666666667</v>
      </c>
      <c r="I31" s="28" t="n">
        <f aca="false">H31*$B$12*$B$14</f>
        <v>15013.3333333333</v>
      </c>
      <c r="J31" s="10" t="n">
        <v>15</v>
      </c>
      <c r="K31" s="28" t="n">
        <f aca="false">J31*$B$15*$B$16*$B$17*$B$18*$B$14</f>
        <v>6075</v>
      </c>
      <c r="L31" s="29" t="n">
        <f aca="false">I31+K31-D31</f>
        <v>-343283.055555556</v>
      </c>
    </row>
    <row r="32" customFormat="false" ht="15" hidden="false" customHeight="false" outlineLevel="0" collapsed="false">
      <c r="A32" s="11" t="s">
        <v>25</v>
      </c>
      <c r="B32" s="12" t="n">
        <v>1.95</v>
      </c>
      <c r="C32" s="30" t="n">
        <v>1917</v>
      </c>
      <c r="D32" s="30" t="n">
        <f aca="false">C32*$B$6/3600*$B$8*$B$5*$B$14</f>
        <v>165208.125</v>
      </c>
      <c r="E32" s="15" t="n">
        <v>0</v>
      </c>
      <c r="F32" s="15" t="n">
        <v>2</v>
      </c>
      <c r="G32" s="15" t="n">
        <v>4</v>
      </c>
      <c r="H32" s="30" t="n">
        <f aca="false">(E32*$B$9+F32*$B$10+G32*$B$11)/$B$13</f>
        <v>79466.6666666667</v>
      </c>
      <c r="I32" s="30" t="n">
        <f aca="false">H32*$B$12*$B$14</f>
        <v>15893.3333333333</v>
      </c>
      <c r="J32" s="15" t="n">
        <v>0</v>
      </c>
      <c r="K32" s="30" t="n">
        <f aca="false">J32*$B$15*$B$16*$B$17*$B$18*$B$14</f>
        <v>0</v>
      </c>
      <c r="L32" s="31" t="n">
        <f aca="false">I32+K32-D32</f>
        <v>-149314.791666667</v>
      </c>
    </row>
    <row r="33" customFormat="false" ht="15" hidden="false" customHeight="false" outlineLevel="0" collapsed="false">
      <c r="A33" s="6" t="s">
        <v>26</v>
      </c>
      <c r="B33" s="7" t="n">
        <v>1.69</v>
      </c>
      <c r="C33" s="28" t="n">
        <v>2599</v>
      </c>
      <c r="D33" s="28" t="n">
        <f aca="false">C33*$B$6/3600*$B$8*$B$5*$B$14</f>
        <v>223983.263888889</v>
      </c>
      <c r="E33" s="10" t="n">
        <v>0</v>
      </c>
      <c r="F33" s="10" t="n">
        <v>2</v>
      </c>
      <c r="G33" s="10" t="n">
        <v>3</v>
      </c>
      <c r="H33" s="28" t="n">
        <f aca="false">(E33*$B$9+F33*$B$10+G33*$B$11)/$B$13</f>
        <v>77266.6666666667</v>
      </c>
      <c r="I33" s="28" t="n">
        <f aca="false">H33*$B$12*$B$14</f>
        <v>15453.3333333333</v>
      </c>
      <c r="J33" s="10" t="n">
        <v>3</v>
      </c>
      <c r="K33" s="28" t="n">
        <f aca="false">J33*$B$15*$B$16*$B$17*$B$18*$B$14</f>
        <v>1215</v>
      </c>
      <c r="L33" s="29" t="n">
        <f aca="false">I33+K33-D33</f>
        <v>-207314.930555556</v>
      </c>
    </row>
    <row r="34" customFormat="false" ht="15" hidden="false" customHeight="false" outlineLevel="0" collapsed="false">
      <c r="A34" s="11" t="s">
        <v>27</v>
      </c>
      <c r="B34" s="12" t="n">
        <v>1.52</v>
      </c>
      <c r="C34" s="30" t="n">
        <v>2224</v>
      </c>
      <c r="D34" s="30" t="n">
        <f aca="false">C34*$B$6/3600*$B$8*$B$5*$B$14</f>
        <v>191665.555555556</v>
      </c>
      <c r="E34" s="15" t="n">
        <v>0</v>
      </c>
      <c r="F34" s="15" t="n">
        <v>1</v>
      </c>
      <c r="G34" s="15" t="n">
        <v>6</v>
      </c>
      <c r="H34" s="30" t="n">
        <f aca="false">(E34*$B$9+F34*$B$10+G34*$B$11)/$B$13</f>
        <v>48533.3333333333</v>
      </c>
      <c r="I34" s="30" t="n">
        <f aca="false">H34*$B$12*$B$14</f>
        <v>9706.66666666667</v>
      </c>
      <c r="J34" s="15" t="n">
        <v>1</v>
      </c>
      <c r="K34" s="30" t="n">
        <f aca="false">J34*$B$15*$B$16*$B$17*$B$18*$B$14</f>
        <v>405</v>
      </c>
      <c r="L34" s="31" t="n">
        <f aca="false">I34+K34-D34</f>
        <v>-181553.888888889</v>
      </c>
    </row>
    <row r="35" customFormat="false" ht="15" hidden="false" customHeight="false" outlineLevel="0" collapsed="false">
      <c r="A35" s="6" t="s">
        <v>28</v>
      </c>
      <c r="B35" s="7" t="n">
        <v>1.41</v>
      </c>
      <c r="C35" s="28" t="n">
        <v>984</v>
      </c>
      <c r="D35" s="28" t="n">
        <f aca="false">C35*$B$6/3600*$B$8*$B$5*$B$14</f>
        <v>84801.6666666667</v>
      </c>
      <c r="E35" s="10" t="n">
        <v>0</v>
      </c>
      <c r="F35" s="10" t="n">
        <v>0</v>
      </c>
      <c r="G35" s="10" t="n">
        <v>2</v>
      </c>
      <c r="H35" s="28" t="n">
        <f aca="false">(E35*$B$9+F35*$B$10+G35*$B$11)/$B$13</f>
        <v>4400</v>
      </c>
      <c r="I35" s="28" t="n">
        <f aca="false">H35*$B$12*$B$14</f>
        <v>880</v>
      </c>
      <c r="J35" s="10" t="n">
        <v>0</v>
      </c>
      <c r="K35" s="28" t="n">
        <f aca="false">J35*$B$15*$B$16*$B$17*$B$18*$B$14</f>
        <v>0</v>
      </c>
      <c r="L35" s="29" t="n">
        <f aca="false">I35+K35-D35</f>
        <v>-83921.6666666667</v>
      </c>
    </row>
    <row r="36" customFormat="false" ht="15" hidden="false" customHeight="false" outlineLevel="0" collapsed="false">
      <c r="A36" s="11" t="s">
        <v>29</v>
      </c>
      <c r="B36" s="12" t="n">
        <v>1.32</v>
      </c>
      <c r="C36" s="30" t="n">
        <v>1491</v>
      </c>
      <c r="D36" s="30" t="n">
        <f aca="false">C36*$B$6/3600*$B$8*$B$5*$B$14</f>
        <v>128495.208333333</v>
      </c>
      <c r="E36" s="15" t="n">
        <v>0</v>
      </c>
      <c r="F36" s="15" t="n">
        <v>0</v>
      </c>
      <c r="G36" s="15" t="n">
        <v>4</v>
      </c>
      <c r="H36" s="30" t="n">
        <f aca="false">(E36*$B$9+F36*$B$10+G36*$B$11)/$B$13</f>
        <v>8800</v>
      </c>
      <c r="I36" s="30" t="n">
        <f aca="false">H36*$B$12*$B$14</f>
        <v>1760</v>
      </c>
      <c r="J36" s="15" t="n">
        <v>1</v>
      </c>
      <c r="K36" s="30" t="n">
        <f aca="false">J36*$B$15*$B$16*$B$17*$B$18*$B$14</f>
        <v>405</v>
      </c>
      <c r="L36" s="31" t="n">
        <f aca="false">I36+K36-D36</f>
        <v>-126330.208333333</v>
      </c>
    </row>
    <row r="37" customFormat="false" ht="15" hidden="false" customHeight="false" outlineLevel="0" collapsed="false">
      <c r="A37" s="6" t="s">
        <v>30</v>
      </c>
      <c r="B37" s="7" t="n">
        <v>1.32</v>
      </c>
      <c r="C37" s="28" t="n">
        <v>2883</v>
      </c>
      <c r="D37" s="28" t="n">
        <f aca="false">C37*$B$6/3600*$B$8*$B$5*$B$14</f>
        <v>248458.541666667</v>
      </c>
      <c r="E37" s="10" t="n">
        <v>0</v>
      </c>
      <c r="F37" s="10" t="n">
        <v>2</v>
      </c>
      <c r="G37" s="10" t="n">
        <v>2</v>
      </c>
      <c r="H37" s="28" t="n">
        <f aca="false">(E37*$B$9+F37*$B$10+G37*$B$11)/$B$13</f>
        <v>75066.6666666667</v>
      </c>
      <c r="I37" s="28" t="n">
        <f aca="false">H37*$B$12*$B$14</f>
        <v>15013.3333333333</v>
      </c>
      <c r="J37" s="10" t="n">
        <v>11</v>
      </c>
      <c r="K37" s="28" t="n">
        <f aca="false">J37*$B$15*$B$16*$B$17*$B$18*$B$14</f>
        <v>4455</v>
      </c>
      <c r="L37" s="29" t="n">
        <f aca="false">I37+K37-D37</f>
        <v>-228990.208333333</v>
      </c>
    </row>
    <row r="38" customFormat="false" ht="15" hidden="false" customHeight="false" outlineLevel="0" collapsed="false">
      <c r="A38" s="11" t="s">
        <v>31</v>
      </c>
      <c r="B38" s="12" t="n">
        <v>1.2</v>
      </c>
      <c r="C38" s="30" t="n">
        <v>4542</v>
      </c>
      <c r="D38" s="30" t="n">
        <f aca="false">C38*$B$6/3600*$B$8*$B$5*$B$14</f>
        <v>391432.083333333</v>
      </c>
      <c r="E38" s="15" t="n">
        <v>0</v>
      </c>
      <c r="F38" s="15" t="n">
        <v>1</v>
      </c>
      <c r="G38" s="15" t="n">
        <v>3</v>
      </c>
      <c r="H38" s="30" t="n">
        <f aca="false">(E38*$B$9+F38*$B$10+G38*$B$11)/$B$13</f>
        <v>41933.3333333333</v>
      </c>
      <c r="I38" s="30" t="n">
        <f aca="false">H38*$B$12*$B$14</f>
        <v>8386.66666666667</v>
      </c>
      <c r="J38" s="15" t="n">
        <v>23</v>
      </c>
      <c r="K38" s="30" t="n">
        <f aca="false">J38*$B$15*$B$16*$B$17*$B$18*$B$14</f>
        <v>9315</v>
      </c>
      <c r="L38" s="31" t="n">
        <f aca="false">I38+K38-D38</f>
        <v>-373730.416666667</v>
      </c>
    </row>
    <row r="39" customFormat="false" ht="15" hidden="false" customHeight="false" outlineLevel="0" collapsed="false">
      <c r="A39" s="6" t="s">
        <v>32</v>
      </c>
      <c r="B39" s="7" t="n">
        <v>1.2</v>
      </c>
      <c r="C39" s="28" t="n">
        <v>4504</v>
      </c>
      <c r="D39" s="28" t="n">
        <f aca="false">C39*$B$6/3600*$B$8*$B$5*$B$14</f>
        <v>388157.222222222</v>
      </c>
      <c r="E39" s="10" t="n">
        <v>0</v>
      </c>
      <c r="F39" s="10" t="n">
        <v>1</v>
      </c>
      <c r="G39" s="10" t="n">
        <v>5</v>
      </c>
      <c r="H39" s="28" t="n">
        <f aca="false">(E39*$B$9+F39*$B$10+G39*$B$11)/$B$13</f>
        <v>46333.3333333333</v>
      </c>
      <c r="I39" s="28" t="n">
        <f aca="false">H39*$B$12*$B$14</f>
        <v>9266.66666666667</v>
      </c>
      <c r="J39" s="10" t="n">
        <v>0</v>
      </c>
      <c r="K39" s="28" t="n">
        <f aca="false">J39*$B$15*$B$16*$B$17*$B$18*$B$14</f>
        <v>0</v>
      </c>
      <c r="L39" s="29" t="n">
        <f aca="false">I39+K39-D39</f>
        <v>-378890.555555556</v>
      </c>
    </row>
    <row r="40" customFormat="false" ht="15" hidden="false" customHeight="false" outlineLevel="0" collapsed="false">
      <c r="A40" s="11" t="s">
        <v>33</v>
      </c>
      <c r="B40" s="12" t="n">
        <v>1.16</v>
      </c>
      <c r="C40" s="30" t="n">
        <v>1672</v>
      </c>
      <c r="D40" s="30" t="n">
        <f aca="false">C40*$B$6/3600*$B$8*$B$5*$B$14</f>
        <v>144093.888888889</v>
      </c>
      <c r="E40" s="15" t="n">
        <v>0</v>
      </c>
      <c r="F40" s="15" t="n">
        <v>1</v>
      </c>
      <c r="G40" s="15" t="n">
        <v>3</v>
      </c>
      <c r="H40" s="30" t="n">
        <f aca="false">(E40*$B$9+F40*$B$10+G40*$B$11)/$B$13</f>
        <v>41933.3333333333</v>
      </c>
      <c r="I40" s="30" t="n">
        <f aca="false">H40*$B$12*$B$14</f>
        <v>8386.66666666667</v>
      </c>
      <c r="J40" s="15" t="n">
        <v>13</v>
      </c>
      <c r="K40" s="30" t="n">
        <f aca="false">J40*$B$15*$B$16*$B$17*$B$18*$B$14</f>
        <v>5265</v>
      </c>
      <c r="L40" s="31" t="n">
        <f aca="false">I40+K40-D40</f>
        <v>-130442.222222222</v>
      </c>
    </row>
    <row r="41" customFormat="false" ht="15" hidden="false" customHeight="false" outlineLevel="0" collapsed="false">
      <c r="A41" s="6" t="s">
        <v>34</v>
      </c>
      <c r="B41" s="7" t="n">
        <v>0.97</v>
      </c>
      <c r="C41" s="28" t="n">
        <v>4913</v>
      </c>
      <c r="D41" s="28" t="n">
        <f aca="false">C41*$B$6/3600*$B$8*$B$5*$B$14</f>
        <v>423405.069444444</v>
      </c>
      <c r="E41" s="10" t="n">
        <v>0</v>
      </c>
      <c r="F41" s="10" t="n">
        <v>3</v>
      </c>
      <c r="G41" s="10" t="n">
        <v>7</v>
      </c>
      <c r="H41" s="28" t="n">
        <f aca="false">(E41*$B$9+F41*$B$10+G41*$B$11)/$B$13</f>
        <v>121400</v>
      </c>
      <c r="I41" s="28" t="n">
        <f aca="false">H41*$B$12*$B$14</f>
        <v>24280</v>
      </c>
      <c r="J41" s="10" t="n">
        <v>110</v>
      </c>
      <c r="K41" s="28" t="n">
        <f aca="false">J41*$B$15*$B$16*$B$17*$B$18*$B$14</f>
        <v>44550</v>
      </c>
      <c r="L41" s="29" t="n">
        <f aca="false">I41+K41-D41</f>
        <v>-354575.069444444</v>
      </c>
    </row>
    <row r="42" customFormat="false" ht="15" hidden="false" customHeight="false" outlineLevel="0" collapsed="false">
      <c r="A42" s="11" t="s">
        <v>35</v>
      </c>
      <c r="B42" s="12" t="n">
        <v>0.92</v>
      </c>
      <c r="C42" s="30" t="n">
        <v>1779</v>
      </c>
      <c r="D42" s="30" t="n">
        <f aca="false">C42*$B$6/3600*$B$8*$B$5*$B$14</f>
        <v>153315.208333333</v>
      </c>
      <c r="E42" s="15" t="n">
        <v>0</v>
      </c>
      <c r="F42" s="15" t="n">
        <v>0</v>
      </c>
      <c r="G42" s="15" t="n">
        <v>0</v>
      </c>
      <c r="H42" s="30" t="n">
        <f aca="false">(E42*$B$9+F42*$B$10+G42*$B$11)/$B$13</f>
        <v>0</v>
      </c>
      <c r="I42" s="30" t="n">
        <f aca="false">H42*$B$12*$B$14</f>
        <v>0</v>
      </c>
      <c r="J42" s="15" t="n">
        <v>0</v>
      </c>
      <c r="K42" s="30" t="n">
        <f aca="false">J42*$B$15*$B$16*$B$17*$B$18*$B$14</f>
        <v>0</v>
      </c>
      <c r="L42" s="31" t="n">
        <f aca="false">I42+K42-D42</f>
        <v>-153315.208333333</v>
      </c>
    </row>
    <row r="43" customFormat="false" ht="15" hidden="false" customHeight="false" outlineLevel="0" collapsed="false">
      <c r="A43" s="6" t="s">
        <v>36</v>
      </c>
      <c r="B43" s="7" t="n">
        <v>0.73</v>
      </c>
      <c r="C43" s="28" t="n">
        <v>503</v>
      </c>
      <c r="D43" s="28" t="n">
        <f aca="false">C43*$B$6/3600*$B$8*$B$5*$B$14</f>
        <v>43348.8194444444</v>
      </c>
      <c r="E43" s="10" t="n">
        <v>0</v>
      </c>
      <c r="F43" s="10" t="n">
        <v>0</v>
      </c>
      <c r="G43" s="10" t="n">
        <v>0</v>
      </c>
      <c r="H43" s="28" t="n">
        <f aca="false">(E43*$B$9+F43*$B$10+G43*$B$11)/$B$13</f>
        <v>0</v>
      </c>
      <c r="I43" s="28" t="n">
        <f aca="false">H43*$B$12*$B$14</f>
        <v>0</v>
      </c>
      <c r="J43" s="10" t="n">
        <v>0</v>
      </c>
      <c r="K43" s="28" t="n">
        <f aca="false">J43*$B$15*$B$16*$B$17*$B$18*$B$14</f>
        <v>0</v>
      </c>
      <c r="L43" s="29" t="n">
        <f aca="false">I43+K43-D43</f>
        <v>-43348.8194444444</v>
      </c>
    </row>
    <row r="44" customFormat="false" ht="15" hidden="false" customHeight="false" outlineLevel="0" collapsed="false">
      <c r="A44" s="11" t="s">
        <v>37</v>
      </c>
      <c r="B44" s="12" t="n">
        <v>0.67</v>
      </c>
      <c r="C44" s="30" t="n">
        <v>883</v>
      </c>
      <c r="D44" s="30" t="n">
        <f aca="false">C44*$B$6/3600*$B$8*$B$5*$B$14</f>
        <v>76097.4305555556</v>
      </c>
      <c r="E44" s="15" t="n">
        <v>0</v>
      </c>
      <c r="F44" s="15" t="n">
        <v>0</v>
      </c>
      <c r="G44" s="15" t="n">
        <v>0</v>
      </c>
      <c r="H44" s="30" t="n">
        <f aca="false">(E44*$B$9+F44*$B$10+G44*$B$11)/$B$13</f>
        <v>0</v>
      </c>
      <c r="I44" s="30" t="n">
        <f aca="false">H44*$B$12*$B$14</f>
        <v>0</v>
      </c>
      <c r="J44" s="15" t="n">
        <v>0</v>
      </c>
      <c r="K44" s="30" t="n">
        <f aca="false">J44*$B$15*$B$16*$B$17*$B$18*$B$14</f>
        <v>0</v>
      </c>
      <c r="L44" s="31" t="n">
        <f aca="false">I44+K44-D44</f>
        <v>-76097.4305555556</v>
      </c>
    </row>
    <row r="45" customFormat="false" ht="15" hidden="false" customHeight="false" outlineLevel="0" collapsed="false">
      <c r="A45" s="6" t="s">
        <v>38</v>
      </c>
      <c r="B45" s="7" t="n">
        <v>0.57</v>
      </c>
      <c r="C45" s="28" t="n">
        <v>1043</v>
      </c>
      <c r="D45" s="28" t="n">
        <f aca="false">C45*$B$6/3600*$B$8*$B$5*$B$14</f>
        <v>89886.3194444444</v>
      </c>
      <c r="E45" s="10" t="n">
        <v>0</v>
      </c>
      <c r="F45" s="10" t="n">
        <v>0</v>
      </c>
      <c r="G45" s="10" t="n">
        <v>2</v>
      </c>
      <c r="H45" s="28" t="n">
        <f aca="false">(E45*$B$9+F45*$B$10+G45*$B$11)/$B$13</f>
        <v>4400</v>
      </c>
      <c r="I45" s="28" t="n">
        <f aca="false">H45*$B$12*$B$14</f>
        <v>880</v>
      </c>
      <c r="J45" s="10" t="n">
        <v>0</v>
      </c>
      <c r="K45" s="28" t="n">
        <f aca="false">J45*$B$15*$B$16*$B$17*$B$18*$B$14</f>
        <v>0</v>
      </c>
      <c r="L45" s="29" t="n">
        <f aca="false">I45+K45-D45</f>
        <v>-89006.3194444444</v>
      </c>
    </row>
    <row r="46" customFormat="false" ht="15" hidden="false" customHeight="false" outlineLevel="0" collapsed="false">
      <c r="A46" s="11" t="s">
        <v>39</v>
      </c>
      <c r="B46" s="12" t="n">
        <v>0.49</v>
      </c>
      <c r="C46" s="30" t="n">
        <v>163</v>
      </c>
      <c r="D46" s="30" t="n">
        <f aca="false">C46*$B$6/3600*$B$8*$B$5*$B$14</f>
        <v>14047.4305555556</v>
      </c>
      <c r="E46" s="15" t="n">
        <v>0</v>
      </c>
      <c r="F46" s="15" t="n">
        <v>0</v>
      </c>
      <c r="G46" s="15" t="n">
        <v>1</v>
      </c>
      <c r="H46" s="30" t="n">
        <f aca="false">(E46*$B$9+F46*$B$10+G46*$B$11)/$B$13</f>
        <v>2200</v>
      </c>
      <c r="I46" s="30" t="n">
        <f aca="false">H46*$B$12*$B$14</f>
        <v>440</v>
      </c>
      <c r="J46" s="15" t="n">
        <v>0</v>
      </c>
      <c r="K46" s="30" t="n">
        <f aca="false">J46*$B$15*$B$16*$B$17*$B$18*$B$14</f>
        <v>0</v>
      </c>
      <c r="L46" s="31" t="n">
        <f aca="false">I46+K46-D46</f>
        <v>-13607.4305555556</v>
      </c>
    </row>
    <row r="47" customFormat="false" ht="15" hidden="false" customHeight="false" outlineLevel="0" collapsed="false">
      <c r="A47" s="16" t="s">
        <v>40</v>
      </c>
      <c r="B47" s="17" t="n">
        <f aca="false">SUM(B21:B46)</f>
        <v>80.38</v>
      </c>
      <c r="C47" s="32" t="n">
        <f aca="false">SUM(C21:C46)</f>
        <v>361262</v>
      </c>
      <c r="D47" s="32" t="n">
        <f aca="false">SUM(D21:D46)</f>
        <v>31133759.8611111</v>
      </c>
      <c r="E47" s="19" t="n">
        <f aca="false">SUM(E21:E46)</f>
        <v>4</v>
      </c>
      <c r="F47" s="19" t="n">
        <f aca="false">SUM(F21:F46)</f>
        <v>229</v>
      </c>
      <c r="G47" s="19" t="n">
        <f aca="false">SUM(G21:G46)</f>
        <v>956</v>
      </c>
      <c r="H47" s="32" t="n">
        <f aca="false">SUM(H21:H46)</f>
        <v>11039866.6666667</v>
      </c>
      <c r="I47" s="32" t="n">
        <f aca="false">SUM(I21:I46)</f>
        <v>2207973.33333333</v>
      </c>
      <c r="J47" s="19" t="n">
        <f aca="false">SUM(J21:J46)</f>
        <v>1816</v>
      </c>
      <c r="K47" s="32" t="n">
        <f aca="false">SUM(K21:K46)</f>
        <v>735480</v>
      </c>
      <c r="L47" s="33" t="n">
        <f aca="false">SUM(L21:L46)</f>
        <v>-28190306.5277778</v>
      </c>
    </row>
    <row r="49" customFormat="false" ht="15" hidden="false" customHeight="false" outlineLevel="0" collapsed="false">
      <c r="A49" s="22" t="s">
        <v>82</v>
      </c>
    </row>
    <row r="50" customFormat="false" ht="15" hidden="false" customHeight="false" outlineLevel="0" collapsed="false">
      <c r="A50" s="23" t="s">
        <v>83</v>
      </c>
      <c r="D50" s="34" t="n">
        <f aca="false">D47</f>
        <v>31133759.8611111</v>
      </c>
    </row>
    <row r="51" customFormat="false" ht="15" hidden="false" customHeight="false" outlineLevel="0" collapsed="false">
      <c r="A51" s="23" t="s">
        <v>84</v>
      </c>
      <c r="D51" s="34" t="n">
        <f aca="false">C47*$B$7/3600*$B$8*$B$5*$B$14</f>
        <v>74721023.6666667</v>
      </c>
    </row>
    <row r="52" customFormat="false" ht="15" hidden="false" customHeight="false" outlineLevel="0" collapsed="false">
      <c r="A52" s="23" t="s">
        <v>85</v>
      </c>
      <c r="D52" s="34" t="n">
        <f aca="false">I47</f>
        <v>2207973.33333333</v>
      </c>
    </row>
    <row r="53" customFormat="false" ht="15" hidden="false" customHeight="false" outlineLevel="0" collapsed="false">
      <c r="A53" s="23" t="s">
        <v>86</v>
      </c>
      <c r="D53" s="34" t="n">
        <f aca="false">K47</f>
        <v>735480</v>
      </c>
    </row>
    <row r="54" customFormat="false" ht="15" hidden="false" customHeight="false" outlineLevel="0" collapsed="false">
      <c r="A54" s="23" t="s">
        <v>87</v>
      </c>
      <c r="D54" s="34" t="n">
        <f aca="false">I47+K47</f>
        <v>2943453.33333333</v>
      </c>
    </row>
    <row r="55" customFormat="false" ht="15" hidden="false" customHeight="false" outlineLevel="0" collapsed="false">
      <c r="A55" s="35" t="s">
        <v>88</v>
      </c>
      <c r="D55" s="36" t="n">
        <f aca="false">I47+K47-D47</f>
        <v>-28190306.5277778</v>
      </c>
    </row>
    <row r="56" customFormat="false" ht="15" hidden="false" customHeight="false" outlineLevel="0" collapsed="false">
      <c r="A56" s="23" t="s">
        <v>89</v>
      </c>
      <c r="D56" s="34" t="n">
        <f aca="false">K47/$B$18</f>
        <v>24516000</v>
      </c>
    </row>
    <row r="58" customFormat="false" ht="27.75" hidden="false" customHeight="true" outlineLevel="0" collapsed="false">
      <c r="A58" s="37" t="s">
        <v>90</v>
      </c>
      <c r="B58" s="37"/>
      <c r="C58" s="37"/>
      <c r="D58" s="37"/>
      <c r="E58" s="37"/>
      <c r="F58" s="37"/>
      <c r="G58" s="37"/>
      <c r="H58" s="37"/>
      <c r="I58" s="37"/>
      <c r="J58" s="37"/>
      <c r="K58" s="37"/>
      <c r="L58" s="37"/>
    </row>
    <row r="59" customFormat="false" ht="27.75" hidden="false" customHeight="true" outlineLevel="0" collapsed="false">
      <c r="A59" s="38" t="s">
        <v>91</v>
      </c>
      <c r="B59" s="38"/>
      <c r="C59" s="38"/>
      <c r="D59" s="38"/>
      <c r="E59" s="38"/>
      <c r="F59" s="38"/>
      <c r="G59" s="38"/>
      <c r="H59" s="38"/>
      <c r="I59" s="38"/>
      <c r="J59" s="38"/>
      <c r="K59" s="38"/>
      <c r="L59" s="38"/>
    </row>
    <row r="60" customFormat="false" ht="27.75" hidden="false" customHeight="true" outlineLevel="0" collapsed="false">
      <c r="A60" s="38" t="s">
        <v>92</v>
      </c>
      <c r="B60" s="38"/>
      <c r="C60" s="38"/>
      <c r="D60" s="38"/>
      <c r="E60" s="38"/>
      <c r="F60" s="38"/>
      <c r="G60" s="38"/>
      <c r="H60" s="38"/>
      <c r="I60" s="38"/>
      <c r="J60" s="38"/>
      <c r="K60" s="38"/>
      <c r="L60" s="38"/>
    </row>
    <row r="61" customFormat="false" ht="27.75" hidden="false" customHeight="true" outlineLevel="0" collapsed="false">
      <c r="A61" s="38" t="s">
        <v>93</v>
      </c>
      <c r="B61" s="38"/>
      <c r="C61" s="38"/>
      <c r="D61" s="38"/>
      <c r="E61" s="38"/>
      <c r="F61" s="38"/>
      <c r="G61" s="38"/>
      <c r="H61" s="38"/>
      <c r="I61" s="38"/>
      <c r="J61" s="38"/>
      <c r="K61" s="38"/>
      <c r="L61" s="38"/>
    </row>
    <row r="62" customFormat="false" ht="27.75" hidden="false" customHeight="true" outlineLevel="0" collapsed="false">
      <c r="A62" s="38" t="s">
        <v>94</v>
      </c>
      <c r="B62" s="38"/>
      <c r="C62" s="38"/>
      <c r="D62" s="38"/>
      <c r="E62" s="38"/>
      <c r="F62" s="38"/>
      <c r="G62" s="38"/>
      <c r="H62" s="38"/>
      <c r="I62" s="38"/>
      <c r="J62" s="38"/>
      <c r="K62" s="38"/>
      <c r="L62" s="38"/>
    </row>
  </sheetData>
  <mergeCells count="7">
    <mergeCell ref="A1:L1"/>
    <mergeCell ref="A2:L2"/>
    <mergeCell ref="A58:L58"/>
    <mergeCell ref="A59:L59"/>
    <mergeCell ref="A60:L60"/>
    <mergeCell ref="A61:L61"/>
    <mergeCell ref="A62:L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6"/>
    <col collapsed="false" customWidth="true" hidden="false" outlineLevel="0" max="4" min="4" style="0" width="12"/>
    <col collapsed="false" customWidth="true" hidden="false" outlineLevel="0" max="5" min="5" style="0" width="40"/>
  </cols>
  <sheetData>
    <row r="1" customFormat="false" ht="16.15" hidden="false" customHeight="false" outlineLevel="0" collapsed="false">
      <c r="A1" s="1" t="s">
        <v>95</v>
      </c>
      <c r="B1" s="1"/>
      <c r="C1" s="1"/>
      <c r="D1" s="1"/>
      <c r="E1" s="1"/>
    </row>
    <row r="3" customFormat="false" ht="15" hidden="false" customHeight="false" outlineLevel="0" collapsed="false">
      <c r="A3" s="5" t="s">
        <v>96</v>
      </c>
      <c r="B3" s="5" t="s">
        <v>97</v>
      </c>
      <c r="C3" s="5" t="s">
        <v>98</v>
      </c>
      <c r="D3" s="5" t="s">
        <v>99</v>
      </c>
      <c r="E3" s="5" t="s">
        <v>100</v>
      </c>
    </row>
    <row r="4" customFormat="false" ht="15" hidden="false" customHeight="false" outlineLevel="0" collapsed="false">
      <c r="A4" s="39" t="s">
        <v>101</v>
      </c>
      <c r="B4" s="39"/>
      <c r="C4" s="39"/>
      <c r="D4" s="39"/>
      <c r="E4" s="39"/>
    </row>
    <row r="5" customFormat="false" ht="15" hidden="false" customHeight="false" outlineLevel="0" collapsed="false">
      <c r="A5" s="6" t="s">
        <v>102</v>
      </c>
      <c r="B5" s="10" t="s">
        <v>103</v>
      </c>
      <c r="C5" s="6" t="s">
        <v>104</v>
      </c>
      <c r="D5" s="10" t="s">
        <v>105</v>
      </c>
      <c r="E5" s="40" t="s">
        <v>106</v>
      </c>
    </row>
    <row r="6" customFormat="false" ht="15" hidden="false" customHeight="false" outlineLevel="0" collapsed="false">
      <c r="A6" s="6" t="s">
        <v>107</v>
      </c>
      <c r="B6" s="10" t="s">
        <v>108</v>
      </c>
      <c r="C6" s="6" t="s">
        <v>104</v>
      </c>
      <c r="D6" s="10" t="s">
        <v>105</v>
      </c>
      <c r="E6" s="40" t="s">
        <v>109</v>
      </c>
    </row>
    <row r="7" customFormat="false" ht="15" hidden="false" customHeight="false" outlineLevel="0" collapsed="false">
      <c r="A7" s="6" t="s">
        <v>110</v>
      </c>
      <c r="B7" s="10" t="s">
        <v>111</v>
      </c>
      <c r="C7" s="6" t="s">
        <v>104</v>
      </c>
      <c r="D7" s="10" t="s">
        <v>105</v>
      </c>
      <c r="E7" s="40" t="s">
        <v>109</v>
      </c>
    </row>
    <row r="8" customFormat="false" ht="15" hidden="false" customHeight="false" outlineLevel="0" collapsed="false">
      <c r="A8" s="6" t="s">
        <v>112</v>
      </c>
      <c r="B8" s="10" t="s">
        <v>113</v>
      </c>
      <c r="C8" s="6" t="s">
        <v>114</v>
      </c>
      <c r="D8" s="10" t="s">
        <v>115</v>
      </c>
      <c r="E8" s="40" t="s">
        <v>116</v>
      </c>
    </row>
    <row r="9" customFormat="false" ht="15" hidden="false" customHeight="false" outlineLevel="0" collapsed="false">
      <c r="A9" s="6" t="s">
        <v>117</v>
      </c>
      <c r="B9" s="10" t="s">
        <v>118</v>
      </c>
      <c r="C9" s="6" t="s">
        <v>119</v>
      </c>
      <c r="D9" s="10" t="s">
        <v>105</v>
      </c>
      <c r="E9" s="40" t="s">
        <v>120</v>
      </c>
    </row>
    <row r="10" customFormat="false" ht="15" hidden="false" customHeight="false" outlineLevel="0" collapsed="false">
      <c r="A10" s="6" t="s">
        <v>121</v>
      </c>
      <c r="B10" s="10" t="s">
        <v>122</v>
      </c>
      <c r="C10" s="6"/>
      <c r="D10" s="10" t="s">
        <v>123</v>
      </c>
      <c r="E10" s="40" t="s">
        <v>124</v>
      </c>
    </row>
    <row r="11" customFormat="false" ht="15" hidden="false" customHeight="false" outlineLevel="0" collapsed="false">
      <c r="A11" s="39" t="s">
        <v>125</v>
      </c>
      <c r="B11" s="39"/>
      <c r="C11" s="39"/>
      <c r="D11" s="39"/>
      <c r="E11" s="39"/>
    </row>
    <row r="12" customFormat="false" ht="15" hidden="false" customHeight="false" outlineLevel="0" collapsed="false">
      <c r="A12" s="6" t="s">
        <v>126</v>
      </c>
      <c r="B12" s="10" t="s">
        <v>127</v>
      </c>
      <c r="C12" s="6" t="s">
        <v>128</v>
      </c>
      <c r="D12" s="10" t="s">
        <v>129</v>
      </c>
      <c r="E12" s="40" t="s">
        <v>130</v>
      </c>
    </row>
    <row r="13" customFormat="false" ht="15" hidden="false" customHeight="false" outlineLevel="0" collapsed="false">
      <c r="A13" s="6" t="s">
        <v>52</v>
      </c>
      <c r="B13" s="10" t="s">
        <v>131</v>
      </c>
      <c r="C13" s="6" t="s">
        <v>132</v>
      </c>
      <c r="D13" s="10" t="s">
        <v>133</v>
      </c>
      <c r="E13" s="40" t="s">
        <v>134</v>
      </c>
    </row>
    <row r="14" customFormat="false" ht="15" hidden="false" customHeight="false" outlineLevel="0" collapsed="false">
      <c r="A14" s="6" t="s">
        <v>54</v>
      </c>
      <c r="B14" s="10" t="s">
        <v>135</v>
      </c>
      <c r="C14" s="6" t="s">
        <v>132</v>
      </c>
      <c r="D14" s="10" t="s">
        <v>133</v>
      </c>
      <c r="E14" s="40" t="s">
        <v>134</v>
      </c>
    </row>
    <row r="15" customFormat="false" ht="15" hidden="false" customHeight="false" outlineLevel="0" collapsed="false">
      <c r="A15" s="6" t="s">
        <v>56</v>
      </c>
      <c r="B15" s="10" t="s">
        <v>136</v>
      </c>
      <c r="C15" s="6" t="s">
        <v>137</v>
      </c>
      <c r="D15" s="10" t="s">
        <v>133</v>
      </c>
      <c r="E15" s="40" t="s">
        <v>134</v>
      </c>
    </row>
    <row r="16" customFormat="false" ht="15" hidden="false" customHeight="false" outlineLevel="0" collapsed="false">
      <c r="A16" s="6" t="s">
        <v>138</v>
      </c>
      <c r="B16" s="10" t="s">
        <v>139</v>
      </c>
      <c r="C16" s="6" t="s">
        <v>140</v>
      </c>
      <c r="D16" s="10" t="s">
        <v>129</v>
      </c>
      <c r="E16" s="40" t="s">
        <v>141</v>
      </c>
    </row>
    <row r="17" customFormat="false" ht="15" hidden="false" customHeight="false" outlineLevel="0" collapsed="false">
      <c r="A17" s="6" t="s">
        <v>142</v>
      </c>
      <c r="B17" s="10" t="s">
        <v>143</v>
      </c>
      <c r="C17" s="6" t="s">
        <v>144</v>
      </c>
      <c r="D17" s="10" t="s">
        <v>129</v>
      </c>
      <c r="E17" s="40" t="s">
        <v>141</v>
      </c>
    </row>
    <row r="18" customFormat="false" ht="15" hidden="false" customHeight="false" outlineLevel="0" collapsed="false">
      <c r="A18" s="39" t="s">
        <v>145</v>
      </c>
      <c r="B18" s="39"/>
      <c r="C18" s="39"/>
      <c r="D18" s="39"/>
      <c r="E18" s="39"/>
    </row>
    <row r="19" customFormat="false" ht="15" hidden="false" customHeight="false" outlineLevel="0" collapsed="false">
      <c r="A19" s="6" t="s">
        <v>146</v>
      </c>
      <c r="B19" s="10" t="s">
        <v>147</v>
      </c>
      <c r="C19" s="6" t="s">
        <v>148</v>
      </c>
      <c r="D19" s="10" t="s">
        <v>149</v>
      </c>
      <c r="E19" s="40" t="s">
        <v>150</v>
      </c>
    </row>
    <row r="20" customFormat="false" ht="15" hidden="false" customHeight="false" outlineLevel="0" collapsed="false">
      <c r="A20" s="6" t="s">
        <v>151</v>
      </c>
      <c r="B20" s="10" t="s">
        <v>152</v>
      </c>
      <c r="C20" s="6" t="s">
        <v>148</v>
      </c>
      <c r="D20" s="10" t="s">
        <v>149</v>
      </c>
      <c r="E20" s="40" t="s">
        <v>150</v>
      </c>
    </row>
    <row r="21" customFormat="false" ht="15" hidden="false" customHeight="false" outlineLevel="0" collapsed="false">
      <c r="A21" s="6" t="s">
        <v>153</v>
      </c>
      <c r="B21" s="10" t="s">
        <v>154</v>
      </c>
      <c r="C21" s="6" t="s">
        <v>155</v>
      </c>
      <c r="D21" s="10" t="s">
        <v>156</v>
      </c>
      <c r="E21" s="40" t="s">
        <v>157</v>
      </c>
    </row>
    <row r="22" customFormat="false" ht="15" hidden="false" customHeight="false" outlineLevel="0" collapsed="false">
      <c r="A22" s="6" t="s">
        <v>158</v>
      </c>
      <c r="B22" s="10" t="s">
        <v>159</v>
      </c>
      <c r="C22" s="6" t="s">
        <v>128</v>
      </c>
      <c r="D22" s="10" t="s">
        <v>129</v>
      </c>
      <c r="E22" s="40" t="s">
        <v>160</v>
      </c>
    </row>
    <row r="23" customFormat="false" ht="15" hidden="false" customHeight="false" outlineLevel="0" collapsed="false">
      <c r="A23" s="39" t="s">
        <v>161</v>
      </c>
      <c r="B23" s="39"/>
      <c r="C23" s="39"/>
      <c r="D23" s="39"/>
      <c r="E23" s="39"/>
    </row>
    <row r="24" customFormat="false" ht="15" hidden="false" customHeight="false" outlineLevel="0" collapsed="false">
      <c r="A24" s="6" t="s">
        <v>162</v>
      </c>
      <c r="B24" s="10" t="s">
        <v>163</v>
      </c>
      <c r="C24" s="6" t="s">
        <v>128</v>
      </c>
      <c r="D24" s="10" t="s">
        <v>129</v>
      </c>
      <c r="E24" s="40" t="s">
        <v>164</v>
      </c>
    </row>
    <row r="25" customFormat="false" ht="15" hidden="false" customHeight="false" outlineLevel="0" collapsed="false">
      <c r="A25" s="39" t="s">
        <v>165</v>
      </c>
      <c r="B25" s="39"/>
      <c r="C25" s="39"/>
      <c r="D25" s="39"/>
      <c r="E25" s="39"/>
    </row>
    <row r="26" customFormat="false" ht="15" hidden="false" customHeight="false" outlineLevel="0" collapsed="false">
      <c r="A26" s="6" t="s">
        <v>166</v>
      </c>
      <c r="B26" s="10" t="s">
        <v>167</v>
      </c>
      <c r="C26" s="6" t="s">
        <v>168</v>
      </c>
      <c r="D26" s="10" t="s">
        <v>156</v>
      </c>
      <c r="E26" s="40" t="s">
        <v>169</v>
      </c>
    </row>
    <row r="27" customFormat="false" ht="15" hidden="false" customHeight="false" outlineLevel="0" collapsed="false">
      <c r="A27" s="6" t="s">
        <v>170</v>
      </c>
      <c r="B27" s="10" t="s">
        <v>171</v>
      </c>
      <c r="C27" s="6" t="s">
        <v>172</v>
      </c>
      <c r="D27" s="10" t="s">
        <v>156</v>
      </c>
      <c r="E27" s="40" t="s">
        <v>173</v>
      </c>
    </row>
    <row r="28" customFormat="false" ht="15" hidden="false" customHeight="false" outlineLevel="0" collapsed="false">
      <c r="A28" s="6" t="s">
        <v>174</v>
      </c>
      <c r="B28" s="10" t="s">
        <v>175</v>
      </c>
      <c r="C28" s="6" t="s">
        <v>168</v>
      </c>
      <c r="D28" s="10" t="s">
        <v>156</v>
      </c>
      <c r="E28" s="40" t="s">
        <v>173</v>
      </c>
    </row>
    <row r="29" customFormat="false" ht="15" hidden="false" customHeight="false" outlineLevel="0" collapsed="false">
      <c r="A29" s="6" t="s">
        <v>176</v>
      </c>
      <c r="B29" s="10" t="s">
        <v>177</v>
      </c>
      <c r="C29" s="6" t="s">
        <v>178</v>
      </c>
      <c r="D29" s="10" t="s">
        <v>156</v>
      </c>
      <c r="E29" s="40" t="s">
        <v>179</v>
      </c>
    </row>
    <row r="30" customFormat="false" ht="15" hidden="false" customHeight="false" outlineLevel="0" collapsed="false">
      <c r="A30" s="6" t="s">
        <v>180</v>
      </c>
      <c r="B30" s="10" t="s">
        <v>181</v>
      </c>
      <c r="C30" s="6" t="s">
        <v>178</v>
      </c>
      <c r="D30" s="10" t="s">
        <v>156</v>
      </c>
      <c r="E30" s="40" t="s">
        <v>182</v>
      </c>
    </row>
  </sheetData>
  <mergeCells count="6">
    <mergeCell ref="A1:E1"/>
    <mergeCell ref="A4:E4"/>
    <mergeCell ref="A11:E11"/>
    <mergeCell ref="A18:E18"/>
    <mergeCell ref="A23:E23"/>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41" t="s">
        <v>183</v>
      </c>
    </row>
    <row r="2" customFormat="false" ht="15" hidden="false" customHeight="false" outlineLevel="0" collapsed="false">
      <c r="A2" s="42"/>
    </row>
    <row r="3" customFormat="false" ht="15" hidden="false" customHeight="false" outlineLevel="0" collapsed="false">
      <c r="A3" s="43" t="s">
        <v>184</v>
      </c>
    </row>
    <row r="4" customFormat="false" ht="42" hidden="false" customHeight="true" outlineLevel="0" collapsed="false">
      <c r="A4" s="42" t="s">
        <v>185</v>
      </c>
    </row>
    <row r="5" customFormat="false" ht="15" hidden="false" customHeight="false" outlineLevel="0" collapsed="false">
      <c r="A5" s="43" t="s">
        <v>186</v>
      </c>
    </row>
    <row r="6" customFormat="false" ht="55.5" hidden="false" customHeight="true" outlineLevel="0" collapsed="false">
      <c r="A6" s="42" t="s">
        <v>187</v>
      </c>
    </row>
    <row r="7" customFormat="false" ht="15" hidden="false" customHeight="false" outlineLevel="0" collapsed="false">
      <c r="A7" s="43" t="s">
        <v>188</v>
      </c>
    </row>
    <row r="8" customFormat="false" ht="42" hidden="false" customHeight="true" outlineLevel="0" collapsed="false">
      <c r="A8" s="42" t="s">
        <v>189</v>
      </c>
    </row>
    <row r="9" customFormat="false" ht="15" hidden="false" customHeight="false" outlineLevel="0" collapsed="false">
      <c r="A9" s="43" t="s">
        <v>190</v>
      </c>
    </row>
    <row r="10" customFormat="false" ht="27.75" hidden="false" customHeight="true" outlineLevel="0" collapsed="false">
      <c r="A10" s="42" t="s">
        <v>191</v>
      </c>
    </row>
    <row r="11" customFormat="false" ht="15" hidden="false" customHeight="false" outlineLevel="0" collapsed="false">
      <c r="A11" s="43" t="s">
        <v>192</v>
      </c>
    </row>
    <row r="12" customFormat="false" ht="69.75" hidden="false" customHeight="true" outlineLevel="0" collapsed="false">
      <c r="A12" s="42" t="s">
        <v>193</v>
      </c>
    </row>
    <row r="13" customFormat="false" ht="15" hidden="false" customHeight="false" outlineLevel="0" collapsed="false">
      <c r="A13" s="43" t="s">
        <v>194</v>
      </c>
    </row>
    <row r="14" customFormat="false" ht="27.75" hidden="false" customHeight="true" outlineLevel="0" collapsed="false">
      <c r="A14" s="42" t="s">
        <v>195</v>
      </c>
    </row>
    <row r="15" customFormat="false" ht="27.75" hidden="false" customHeight="true" outlineLevel="0" collapsed="false">
      <c r="A15" s="42" t="s">
        <v>196</v>
      </c>
    </row>
    <row r="16" customFormat="false" ht="13.5" hidden="false" customHeight="true" outlineLevel="0" collapsed="false">
      <c r="A16" s="42" t="s">
        <v>197</v>
      </c>
    </row>
    <row r="17" customFormat="false" ht="15" hidden="false" customHeight="false" outlineLevel="0" collapsed="false">
      <c r="A17" s="43" t="s">
        <v>198</v>
      </c>
    </row>
    <row r="18" customFormat="false" ht="42" hidden="false" customHeight="true" outlineLevel="0" collapsed="false">
      <c r="A18" s="42" t="s">
        <v>199</v>
      </c>
    </row>
    <row r="19" customFormat="false" ht="13.5" hidden="false" customHeight="true" outlineLevel="0" collapsed="false">
      <c r="A19" s="42"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9"/>
    <col collapsed="false" customWidth="true" hidden="false" outlineLevel="0" max="4" min="4" style="0" width="11"/>
    <col collapsed="false" customWidth="true" hidden="false" outlineLevel="0" max="5" min="5" style="0" width="10"/>
    <col collapsed="false" customWidth="true" hidden="false" outlineLevel="0" max="7" min="6" style="0" width="9"/>
    <col collapsed="false" customWidth="true" hidden="false" outlineLevel="0" max="8" min="8" style="0" width="13"/>
    <col collapsed="false" customWidth="true" hidden="false" outlineLevel="0" max="9" min="9" style="0" width="8"/>
    <col collapsed="false" customWidth="true" hidden="false" outlineLevel="0" max="10" min="10" style="0" width="9"/>
    <col collapsed="false" customWidth="true" hidden="false" outlineLevel="0" max="11" min="11" style="0" width="11"/>
    <col collapsed="false" customWidth="true" hidden="false" outlineLevel="0" max="12" min="12" style="0" width="10"/>
  </cols>
  <sheetData>
    <row r="1" customFormat="false" ht="16.15" hidden="false" customHeight="false" outlineLevel="0" collapsed="false">
      <c r="A1" s="1" t="s">
        <v>201</v>
      </c>
      <c r="B1" s="1"/>
      <c r="C1" s="1"/>
      <c r="D1" s="1"/>
      <c r="E1" s="1"/>
      <c r="F1" s="1"/>
      <c r="G1" s="1"/>
      <c r="H1" s="1"/>
      <c r="I1" s="1"/>
      <c r="J1" s="1"/>
      <c r="K1" s="1"/>
      <c r="L1" s="1"/>
    </row>
    <row r="2" customFormat="false" ht="30" hidden="false" customHeight="true" outlineLevel="0" collapsed="false">
      <c r="A2" s="44" t="s">
        <v>202</v>
      </c>
      <c r="B2" s="44"/>
      <c r="C2" s="44"/>
      <c r="D2" s="44"/>
      <c r="E2" s="44"/>
      <c r="F2" s="44"/>
      <c r="G2" s="44"/>
      <c r="H2" s="44"/>
      <c r="I2" s="44"/>
      <c r="J2" s="44"/>
      <c r="K2" s="44"/>
      <c r="L2" s="44"/>
    </row>
    <row r="4" customFormat="false" ht="39.75" hidden="false" customHeight="true" outlineLevel="0" collapsed="false">
      <c r="A4" s="5" t="s">
        <v>203</v>
      </c>
      <c r="B4" s="5" t="s">
        <v>3</v>
      </c>
      <c r="C4" s="5" t="s">
        <v>71</v>
      </c>
      <c r="D4" s="5" t="s">
        <v>204</v>
      </c>
      <c r="E4" s="5" t="s">
        <v>205</v>
      </c>
      <c r="F4" s="5" t="s">
        <v>206</v>
      </c>
      <c r="G4" s="5" t="s">
        <v>207</v>
      </c>
      <c r="H4" s="5" t="s">
        <v>72</v>
      </c>
      <c r="I4" s="5" t="s">
        <v>208</v>
      </c>
      <c r="J4" s="5" t="s">
        <v>209</v>
      </c>
      <c r="K4" s="5" t="s">
        <v>13</v>
      </c>
      <c r="L4" s="5" t="s">
        <v>79</v>
      </c>
    </row>
    <row r="5" customFormat="false" ht="15" hidden="false" customHeight="false" outlineLevel="0" collapsed="false">
      <c r="A5" s="6" t="s">
        <v>14</v>
      </c>
      <c r="B5" s="6" t="s">
        <v>14</v>
      </c>
      <c r="C5" s="7" t="n">
        <v>21.25</v>
      </c>
      <c r="D5" s="8" t="n">
        <v>6.6</v>
      </c>
      <c r="E5" s="10" t="s">
        <v>210</v>
      </c>
      <c r="F5" s="9" t="n">
        <v>0.65</v>
      </c>
      <c r="G5" s="9" t="n">
        <v>0.16</v>
      </c>
      <c r="H5" s="28" t="n">
        <v>152108</v>
      </c>
      <c r="I5" s="10" t="n">
        <v>629</v>
      </c>
      <c r="J5" s="10" t="n">
        <v>252</v>
      </c>
      <c r="K5" s="7" t="n">
        <v>1.97</v>
      </c>
      <c r="L5" s="10" t="n">
        <v>1017</v>
      </c>
    </row>
    <row r="6" customFormat="false" ht="15" hidden="false" customHeight="false" outlineLevel="0" collapsed="false">
      <c r="A6" s="11" t="s">
        <v>15</v>
      </c>
      <c r="B6" s="11" t="s">
        <v>15</v>
      </c>
      <c r="C6" s="12" t="n">
        <v>6.22</v>
      </c>
      <c r="D6" s="13" t="n">
        <v>4.9</v>
      </c>
      <c r="E6" s="15" t="s">
        <v>211</v>
      </c>
      <c r="F6" s="14" t="n">
        <v>0.85</v>
      </c>
      <c r="G6" s="14" t="n">
        <v>0.64</v>
      </c>
      <c r="H6" s="30" t="n">
        <v>16136</v>
      </c>
      <c r="I6" s="15" t="n">
        <v>61</v>
      </c>
      <c r="J6" s="15" t="n">
        <v>25</v>
      </c>
      <c r="K6" s="12" t="n">
        <v>0.65</v>
      </c>
      <c r="L6" s="15" t="n">
        <v>44</v>
      </c>
    </row>
    <row r="7" customFormat="false" ht="15" hidden="false" customHeight="false" outlineLevel="0" collapsed="false">
      <c r="A7" s="6" t="s">
        <v>16</v>
      </c>
      <c r="B7" s="6" t="s">
        <v>16</v>
      </c>
      <c r="C7" s="7" t="n">
        <v>5.5</v>
      </c>
      <c r="D7" s="8" t="n">
        <v>7.2</v>
      </c>
      <c r="E7" s="10" t="s">
        <v>212</v>
      </c>
      <c r="F7" s="9" t="n">
        <v>0.28</v>
      </c>
      <c r="G7" s="9" t="n">
        <v>0.21</v>
      </c>
      <c r="H7" s="28" t="n">
        <v>59885</v>
      </c>
      <c r="I7" s="10" t="n">
        <v>218</v>
      </c>
      <c r="J7" s="10" t="n">
        <v>62</v>
      </c>
      <c r="K7" s="7" t="n">
        <v>2.64</v>
      </c>
      <c r="L7" s="10" t="n">
        <v>143</v>
      </c>
    </row>
    <row r="8" customFormat="false" ht="15" hidden="false" customHeight="false" outlineLevel="0" collapsed="false">
      <c r="A8" s="11" t="s">
        <v>17</v>
      </c>
      <c r="B8" s="11" t="s">
        <v>17</v>
      </c>
      <c r="C8" s="12" t="n">
        <v>5.36</v>
      </c>
      <c r="D8" s="13" t="n">
        <v>5.1</v>
      </c>
      <c r="E8" s="15" t="s">
        <v>210</v>
      </c>
      <c r="F8" s="14" t="n">
        <v>0.97</v>
      </c>
      <c r="G8" s="14" t="n">
        <v>0.38</v>
      </c>
      <c r="H8" s="30" t="n">
        <v>24202</v>
      </c>
      <c r="I8" s="15" t="n">
        <v>82</v>
      </c>
      <c r="J8" s="15" t="n">
        <v>51</v>
      </c>
      <c r="K8" s="12" t="n">
        <v>1.02</v>
      </c>
      <c r="L8" s="15" t="n">
        <v>164</v>
      </c>
    </row>
    <row r="9" customFormat="false" ht="15" hidden="false" customHeight="false" outlineLevel="0" collapsed="false">
      <c r="A9" s="6" t="s">
        <v>19</v>
      </c>
      <c r="B9" s="6" t="s">
        <v>19</v>
      </c>
      <c r="C9" s="7" t="n">
        <v>3.57</v>
      </c>
      <c r="D9" s="8" t="n">
        <v>5</v>
      </c>
      <c r="E9" s="10" t="s">
        <v>211</v>
      </c>
      <c r="F9" s="9" t="n">
        <v>0.96</v>
      </c>
      <c r="G9" s="9" t="n">
        <v>0.54</v>
      </c>
      <c r="H9" s="28" t="n">
        <v>6797</v>
      </c>
      <c r="I9" s="10" t="n">
        <v>16</v>
      </c>
      <c r="J9" s="10" t="n">
        <v>4</v>
      </c>
      <c r="K9" s="7" t="n">
        <v>0.3</v>
      </c>
      <c r="L9" s="10" t="n">
        <v>1</v>
      </c>
    </row>
    <row r="10" customFormat="false" ht="15" hidden="false" customHeight="false" outlineLevel="0" collapsed="false">
      <c r="A10" s="11" t="s">
        <v>20</v>
      </c>
      <c r="B10" s="11" t="s">
        <v>20</v>
      </c>
      <c r="C10" s="12" t="n">
        <v>3.49</v>
      </c>
      <c r="D10" s="13" t="n">
        <v>5</v>
      </c>
      <c r="E10" s="15" t="s">
        <v>210</v>
      </c>
      <c r="F10" s="14" t="n">
        <v>0.92</v>
      </c>
      <c r="G10" s="14" t="n">
        <v>0.49</v>
      </c>
      <c r="H10" s="30" t="n">
        <v>14332</v>
      </c>
      <c r="I10" s="15" t="n">
        <v>26</v>
      </c>
      <c r="J10" s="15" t="n">
        <v>10</v>
      </c>
      <c r="K10" s="12" t="n">
        <v>0.5</v>
      </c>
      <c r="L10" s="15" t="n">
        <v>15</v>
      </c>
    </row>
    <row r="11" customFormat="false" ht="15" hidden="false" customHeight="false" outlineLevel="0" collapsed="false">
      <c r="A11" s="6" t="s">
        <v>21</v>
      </c>
      <c r="B11" s="6" t="s">
        <v>21</v>
      </c>
      <c r="C11" s="7" t="n">
        <v>2.75</v>
      </c>
      <c r="D11" s="8" t="n">
        <v>4.4</v>
      </c>
      <c r="E11" s="10" t="s">
        <v>211</v>
      </c>
      <c r="F11" s="9" t="n">
        <v>1</v>
      </c>
      <c r="G11" s="9" t="n">
        <v>0.64</v>
      </c>
      <c r="H11" s="28" t="n">
        <v>5552</v>
      </c>
      <c r="I11" s="10" t="n">
        <v>11</v>
      </c>
      <c r="J11" s="10" t="n">
        <v>8</v>
      </c>
      <c r="K11" s="7" t="n">
        <v>0.27</v>
      </c>
      <c r="L11" s="10" t="n">
        <v>19</v>
      </c>
    </row>
    <row r="12" customFormat="false" ht="15" hidden="false" customHeight="false" outlineLevel="0" collapsed="false">
      <c r="A12" s="11" t="s">
        <v>22</v>
      </c>
      <c r="B12" s="11" t="s">
        <v>22</v>
      </c>
      <c r="C12" s="12" t="n">
        <v>2.55</v>
      </c>
      <c r="D12" s="13" t="n">
        <v>5</v>
      </c>
      <c r="E12" s="15" t="s">
        <v>210</v>
      </c>
      <c r="F12" s="14" t="n">
        <v>0.95</v>
      </c>
      <c r="G12" s="14" t="n">
        <v>0.5</v>
      </c>
      <c r="H12" s="30" t="n">
        <v>11511</v>
      </c>
      <c r="I12" s="15" t="n">
        <v>23</v>
      </c>
      <c r="J12" s="15" t="n">
        <v>10</v>
      </c>
      <c r="K12" s="12" t="n">
        <v>0.6</v>
      </c>
      <c r="L12" s="15" t="n">
        <v>26</v>
      </c>
    </row>
    <row r="13" customFormat="false" ht="15" hidden="false" customHeight="false" outlineLevel="0" collapsed="false">
      <c r="A13" s="6" t="s">
        <v>18</v>
      </c>
      <c r="B13" s="6" t="s">
        <v>18</v>
      </c>
      <c r="C13" s="7" t="n">
        <v>2.41</v>
      </c>
      <c r="D13" s="8" t="n">
        <v>5.4</v>
      </c>
      <c r="E13" s="10" t="s">
        <v>210</v>
      </c>
      <c r="F13" s="9" t="n">
        <v>0.88</v>
      </c>
      <c r="G13" s="9" t="n">
        <v>0.4</v>
      </c>
      <c r="H13" s="28" t="n">
        <v>8511</v>
      </c>
      <c r="I13" s="10" t="n">
        <v>10</v>
      </c>
      <c r="J13" s="10" t="n">
        <v>4</v>
      </c>
      <c r="K13" s="7" t="n">
        <v>0.28</v>
      </c>
      <c r="L13" s="10" t="n">
        <v>7</v>
      </c>
    </row>
    <row r="14" customFormat="false" ht="15" hidden="false" customHeight="false" outlineLevel="0" collapsed="false">
      <c r="A14" s="11" t="s">
        <v>24</v>
      </c>
      <c r="B14" s="11" t="s">
        <v>24</v>
      </c>
      <c r="C14" s="12" t="n">
        <v>2.11</v>
      </c>
      <c r="D14" s="13" t="n">
        <v>3.8</v>
      </c>
      <c r="E14" s="15" t="s">
        <v>211</v>
      </c>
      <c r="F14" s="14" t="n">
        <v>1</v>
      </c>
      <c r="G14" s="14" t="n">
        <v>1</v>
      </c>
      <c r="H14" s="30" t="n">
        <v>4228</v>
      </c>
      <c r="I14" s="15" t="n">
        <v>4</v>
      </c>
      <c r="J14" s="15" t="n">
        <v>3</v>
      </c>
      <c r="K14" s="12" t="n">
        <v>0.13</v>
      </c>
      <c r="L14" s="15" t="n">
        <v>15</v>
      </c>
    </row>
    <row r="15" customFormat="false" ht="15" hidden="false" customHeight="false" outlineLevel="0" collapsed="false">
      <c r="A15" s="6" t="s">
        <v>25</v>
      </c>
      <c r="B15" s="6" t="s">
        <v>25</v>
      </c>
      <c r="C15" s="7" t="n">
        <v>1.95</v>
      </c>
      <c r="D15" s="8" t="n">
        <v>3.8</v>
      </c>
      <c r="E15" s="10" t="s">
        <v>211</v>
      </c>
      <c r="F15" s="9" t="n">
        <v>1</v>
      </c>
      <c r="G15" s="9" t="n">
        <v>0.92</v>
      </c>
      <c r="H15" s="28" t="n">
        <v>1917</v>
      </c>
      <c r="I15" s="10" t="n">
        <v>6</v>
      </c>
      <c r="J15" s="10" t="n">
        <v>1</v>
      </c>
      <c r="K15" s="7" t="n">
        <v>0.21</v>
      </c>
      <c r="L15" s="10" t="n">
        <v>0</v>
      </c>
    </row>
    <row r="16" customFormat="false" ht="15" hidden="false" customHeight="false" outlineLevel="0" collapsed="false">
      <c r="A16" s="11" t="s">
        <v>26</v>
      </c>
      <c r="B16" s="11" t="s">
        <v>26</v>
      </c>
      <c r="C16" s="12" t="n">
        <v>1.69</v>
      </c>
      <c r="D16" s="13" t="n">
        <v>3.8</v>
      </c>
      <c r="E16" s="15" t="s">
        <v>211</v>
      </c>
      <c r="F16" s="14" t="n">
        <v>1</v>
      </c>
      <c r="G16" s="14" t="n">
        <v>1</v>
      </c>
      <c r="H16" s="30" t="n">
        <v>2599</v>
      </c>
      <c r="I16" s="15" t="n">
        <v>5</v>
      </c>
      <c r="J16" s="15" t="n">
        <v>3</v>
      </c>
      <c r="K16" s="12" t="n">
        <v>0.2</v>
      </c>
      <c r="L16" s="15" t="n">
        <v>3</v>
      </c>
    </row>
    <row r="17" customFormat="false" ht="15" hidden="false" customHeight="false" outlineLevel="0" collapsed="false">
      <c r="A17" s="6" t="s">
        <v>23</v>
      </c>
      <c r="B17" s="6" t="s">
        <v>23</v>
      </c>
      <c r="C17" s="7" t="n">
        <v>1.54</v>
      </c>
      <c r="D17" s="8" t="n">
        <v>6.3</v>
      </c>
      <c r="E17" s="10" t="s">
        <v>210</v>
      </c>
      <c r="F17" s="9" t="n">
        <v>0.65</v>
      </c>
      <c r="G17" s="9" t="n">
        <v>0.12</v>
      </c>
      <c r="H17" s="28" t="n">
        <v>17771</v>
      </c>
      <c r="I17" s="10" t="n">
        <v>40</v>
      </c>
      <c r="J17" s="10" t="n">
        <v>13</v>
      </c>
      <c r="K17" s="7" t="n">
        <v>1.73</v>
      </c>
      <c r="L17" s="10" t="n">
        <v>146</v>
      </c>
    </row>
    <row r="18" customFormat="false" ht="15" hidden="false" customHeight="false" outlineLevel="0" collapsed="false">
      <c r="A18" s="11" t="s">
        <v>27</v>
      </c>
      <c r="B18" s="11" t="s">
        <v>27</v>
      </c>
      <c r="C18" s="12" t="n">
        <v>1.52</v>
      </c>
      <c r="D18" s="13" t="n">
        <v>4.7</v>
      </c>
      <c r="E18" s="15" t="s">
        <v>211</v>
      </c>
      <c r="F18" s="14" t="n">
        <v>0.93</v>
      </c>
      <c r="G18" s="14" t="n">
        <v>0.64</v>
      </c>
      <c r="H18" s="30" t="n">
        <v>2224</v>
      </c>
      <c r="I18" s="15" t="n">
        <v>7</v>
      </c>
      <c r="J18" s="15" t="n">
        <v>6</v>
      </c>
      <c r="K18" s="12" t="n">
        <v>0.31</v>
      </c>
      <c r="L18" s="15" t="n">
        <v>1</v>
      </c>
    </row>
    <row r="19" customFormat="false" ht="15" hidden="false" customHeight="false" outlineLevel="0" collapsed="false">
      <c r="A19" s="6" t="s">
        <v>28</v>
      </c>
      <c r="B19" s="6" t="s">
        <v>28</v>
      </c>
      <c r="C19" s="7" t="n">
        <v>1.41</v>
      </c>
      <c r="D19" s="8" t="n">
        <v>3.8</v>
      </c>
      <c r="E19" s="10" t="s">
        <v>211</v>
      </c>
      <c r="F19" s="9" t="n">
        <v>1</v>
      </c>
      <c r="G19" s="9" t="n">
        <v>1</v>
      </c>
      <c r="H19" s="28" t="n">
        <v>984</v>
      </c>
      <c r="I19" s="10" t="n">
        <v>2</v>
      </c>
      <c r="J19" s="10" t="n">
        <v>0</v>
      </c>
      <c r="K19" s="7" t="n">
        <v>0.09</v>
      </c>
      <c r="L19" s="10" t="n">
        <v>0</v>
      </c>
    </row>
    <row r="20" customFormat="false" ht="15" hidden="false" customHeight="false" outlineLevel="0" collapsed="false">
      <c r="A20" s="11" t="s">
        <v>29</v>
      </c>
      <c r="B20" s="11" t="s">
        <v>29</v>
      </c>
      <c r="C20" s="12" t="n">
        <v>1.32</v>
      </c>
      <c r="D20" s="13" t="n">
        <v>3.9</v>
      </c>
      <c r="E20" s="15" t="s">
        <v>211</v>
      </c>
      <c r="F20" s="14" t="n">
        <v>1</v>
      </c>
      <c r="G20" s="14" t="n">
        <v>1</v>
      </c>
      <c r="H20" s="30" t="n">
        <v>1491</v>
      </c>
      <c r="I20" s="15" t="n">
        <v>4</v>
      </c>
      <c r="J20" s="15" t="n">
        <v>1</v>
      </c>
      <c r="K20" s="12" t="n">
        <v>0.2</v>
      </c>
      <c r="L20" s="15" t="n">
        <v>1</v>
      </c>
    </row>
    <row r="21" customFormat="false" ht="15" hidden="false" customHeight="false" outlineLevel="0" collapsed="false">
      <c r="A21" s="6" t="s">
        <v>30</v>
      </c>
      <c r="B21" s="6" t="s">
        <v>30</v>
      </c>
      <c r="C21" s="7" t="n">
        <v>1.32</v>
      </c>
      <c r="D21" s="8" t="n">
        <v>4.5</v>
      </c>
      <c r="E21" s="10" t="s">
        <v>211</v>
      </c>
      <c r="F21" s="9" t="n">
        <v>1</v>
      </c>
      <c r="G21" s="9" t="n">
        <v>0.74</v>
      </c>
      <c r="H21" s="28" t="n">
        <v>2883</v>
      </c>
      <c r="I21" s="10" t="n">
        <v>4</v>
      </c>
      <c r="J21" s="10" t="n">
        <v>0</v>
      </c>
      <c r="K21" s="7" t="n">
        <v>0.2</v>
      </c>
      <c r="L21" s="10" t="n">
        <v>9</v>
      </c>
    </row>
    <row r="22" customFormat="false" ht="15" hidden="false" customHeight="false" outlineLevel="0" collapsed="false">
      <c r="A22" s="11" t="s">
        <v>213</v>
      </c>
      <c r="B22" s="11" t="s">
        <v>14</v>
      </c>
      <c r="C22" s="12" t="n">
        <v>1.22</v>
      </c>
      <c r="D22" s="13" t="n">
        <v>4</v>
      </c>
      <c r="E22" s="15" t="s">
        <v>211</v>
      </c>
      <c r="F22" s="14" t="n">
        <v>1</v>
      </c>
      <c r="G22" s="14" t="n">
        <v>1</v>
      </c>
      <c r="H22" s="30" t="n">
        <v>1102</v>
      </c>
      <c r="I22" s="15" t="n">
        <v>1</v>
      </c>
      <c r="J22" s="15" t="n">
        <v>1</v>
      </c>
      <c r="K22" s="12" t="n">
        <v>0.05</v>
      </c>
      <c r="L22" s="15" t="n">
        <v>0</v>
      </c>
    </row>
    <row r="23" customFormat="false" ht="15" hidden="false" customHeight="false" outlineLevel="0" collapsed="false">
      <c r="A23" s="6" t="s">
        <v>31</v>
      </c>
      <c r="B23" s="6" t="s">
        <v>31</v>
      </c>
      <c r="C23" s="7" t="n">
        <v>1.2</v>
      </c>
      <c r="D23" s="8" t="n">
        <v>5.5</v>
      </c>
      <c r="E23" s="10" t="s">
        <v>210</v>
      </c>
      <c r="F23" s="9" t="n">
        <v>1</v>
      </c>
      <c r="G23" s="9" t="n">
        <v>0.22</v>
      </c>
      <c r="H23" s="28" t="n">
        <v>4542</v>
      </c>
      <c r="I23" s="10" t="n">
        <v>4</v>
      </c>
      <c r="J23" s="10" t="n">
        <v>1</v>
      </c>
      <c r="K23" s="7" t="n">
        <v>0.22</v>
      </c>
      <c r="L23" s="10" t="n">
        <v>23</v>
      </c>
    </row>
    <row r="24" customFormat="false" ht="15" hidden="false" customHeight="false" outlineLevel="0" collapsed="false">
      <c r="A24" s="11" t="s">
        <v>32</v>
      </c>
      <c r="B24" s="11" t="s">
        <v>32</v>
      </c>
      <c r="C24" s="12" t="n">
        <v>1.2</v>
      </c>
      <c r="D24" s="13" t="n">
        <v>6</v>
      </c>
      <c r="E24" s="15" t="s">
        <v>210</v>
      </c>
      <c r="F24" s="14" t="n">
        <v>0.95</v>
      </c>
      <c r="G24" s="14" t="n">
        <v>0.06</v>
      </c>
      <c r="H24" s="30" t="n">
        <v>4504</v>
      </c>
      <c r="I24" s="15" t="n">
        <v>6</v>
      </c>
      <c r="J24" s="15" t="n">
        <v>2</v>
      </c>
      <c r="K24" s="12" t="n">
        <v>0.33</v>
      </c>
      <c r="L24" s="15" t="n">
        <v>0</v>
      </c>
    </row>
    <row r="25" customFormat="false" ht="15" hidden="false" customHeight="false" outlineLevel="0" collapsed="false">
      <c r="A25" s="6" t="s">
        <v>33</v>
      </c>
      <c r="B25" s="6" t="s">
        <v>33</v>
      </c>
      <c r="C25" s="7" t="n">
        <v>1.16</v>
      </c>
      <c r="D25" s="8" t="n">
        <v>3.9</v>
      </c>
      <c r="E25" s="10" t="s">
        <v>211</v>
      </c>
      <c r="F25" s="9" t="n">
        <v>1</v>
      </c>
      <c r="G25" s="9" t="n">
        <v>1</v>
      </c>
      <c r="H25" s="28" t="n">
        <v>1672</v>
      </c>
      <c r="I25" s="10" t="n">
        <v>3</v>
      </c>
      <c r="J25" s="10" t="n">
        <v>3</v>
      </c>
      <c r="K25" s="7" t="n">
        <v>0.17</v>
      </c>
      <c r="L25" s="10" t="n">
        <v>9</v>
      </c>
    </row>
    <row r="26" customFormat="false" ht="15" hidden="false" customHeight="false" outlineLevel="0" collapsed="false">
      <c r="A26" s="11" t="s">
        <v>214</v>
      </c>
      <c r="B26" s="11" t="s">
        <v>18</v>
      </c>
      <c r="C26" s="12" t="n">
        <v>1.15</v>
      </c>
      <c r="D26" s="13" t="n">
        <v>4.6</v>
      </c>
      <c r="E26" s="15" t="s">
        <v>210</v>
      </c>
      <c r="F26" s="14" t="n">
        <v>1</v>
      </c>
      <c r="G26" s="14" t="n">
        <v>0.5</v>
      </c>
      <c r="H26" s="30" t="n">
        <v>1067</v>
      </c>
      <c r="I26" s="15" t="n">
        <v>2</v>
      </c>
      <c r="J26" s="15" t="n">
        <v>0</v>
      </c>
      <c r="K26" s="12" t="n">
        <v>0.12</v>
      </c>
      <c r="L26" s="15" t="n">
        <v>0</v>
      </c>
    </row>
    <row r="27" customFormat="false" ht="15" hidden="false" customHeight="false" outlineLevel="0" collapsed="false">
      <c r="A27" s="6" t="s">
        <v>34</v>
      </c>
      <c r="B27" s="6" t="s">
        <v>34</v>
      </c>
      <c r="C27" s="7" t="n">
        <v>0.97</v>
      </c>
      <c r="D27" s="8" t="n">
        <v>5.2</v>
      </c>
      <c r="E27" s="10" t="s">
        <v>210</v>
      </c>
      <c r="F27" s="9" t="n">
        <v>1</v>
      </c>
      <c r="G27" s="9" t="n">
        <v>0.35</v>
      </c>
      <c r="H27" s="28" t="n">
        <v>4913</v>
      </c>
      <c r="I27" s="10" t="n">
        <v>10</v>
      </c>
      <c r="J27" s="10" t="n">
        <v>4</v>
      </c>
      <c r="K27" s="7" t="n">
        <v>0.69</v>
      </c>
      <c r="L27" s="10" t="n">
        <v>98</v>
      </c>
    </row>
    <row r="28" customFormat="false" ht="15" hidden="false" customHeight="false" outlineLevel="0" collapsed="false">
      <c r="A28" s="11" t="s">
        <v>215</v>
      </c>
      <c r="B28" s="11" t="s">
        <v>15</v>
      </c>
      <c r="C28" s="12" t="n">
        <v>0.93</v>
      </c>
      <c r="D28" s="13" t="n">
        <v>3.9</v>
      </c>
      <c r="E28" s="15" t="s">
        <v>211</v>
      </c>
      <c r="F28" s="14" t="n">
        <v>1</v>
      </c>
      <c r="G28" s="14" t="n">
        <v>1</v>
      </c>
      <c r="H28" s="30" t="n">
        <v>352</v>
      </c>
      <c r="I28" s="15" t="n">
        <v>1</v>
      </c>
      <c r="J28" s="15" t="n">
        <v>1</v>
      </c>
      <c r="K28" s="12" t="n">
        <v>0.07</v>
      </c>
      <c r="L28" s="15" t="n">
        <v>0</v>
      </c>
    </row>
    <row r="29" customFormat="false" ht="15" hidden="false" customHeight="false" outlineLevel="0" collapsed="false">
      <c r="A29" s="6" t="s">
        <v>35</v>
      </c>
      <c r="B29" s="6" t="s">
        <v>35</v>
      </c>
      <c r="C29" s="7" t="n">
        <v>0.92</v>
      </c>
      <c r="D29" s="8" t="n">
        <v>3.9</v>
      </c>
      <c r="E29" s="10" t="s">
        <v>211</v>
      </c>
      <c r="F29" s="9" t="n">
        <v>1</v>
      </c>
      <c r="G29" s="9" t="n">
        <v>1</v>
      </c>
      <c r="H29" s="28" t="n">
        <v>1779</v>
      </c>
      <c r="I29" s="10" t="n">
        <v>0</v>
      </c>
      <c r="J29" s="10" t="n">
        <v>0</v>
      </c>
      <c r="K29" s="7" t="n">
        <v>0</v>
      </c>
      <c r="L29" s="10" t="n">
        <v>0</v>
      </c>
    </row>
    <row r="30" customFormat="false" ht="15" hidden="false" customHeight="false" outlineLevel="0" collapsed="false">
      <c r="A30" s="11" t="s">
        <v>216</v>
      </c>
      <c r="B30" s="11" t="s">
        <v>15</v>
      </c>
      <c r="C30" s="12" t="n">
        <v>0.81</v>
      </c>
      <c r="D30" s="13" t="n">
        <v>3.9</v>
      </c>
      <c r="E30" s="15" t="s">
        <v>211</v>
      </c>
      <c r="F30" s="14" t="n">
        <v>1</v>
      </c>
      <c r="G30" s="14" t="n">
        <v>1</v>
      </c>
      <c r="H30" s="30" t="n">
        <v>487</v>
      </c>
      <c r="I30" s="15" t="n">
        <v>5</v>
      </c>
      <c r="J30" s="15" t="n">
        <v>2</v>
      </c>
      <c r="K30" s="12" t="n">
        <v>0.41</v>
      </c>
      <c r="L30" s="15" t="n">
        <v>0</v>
      </c>
    </row>
    <row r="31" customFormat="false" ht="15" hidden="false" customHeight="false" outlineLevel="0" collapsed="false">
      <c r="A31" s="6" t="s">
        <v>217</v>
      </c>
      <c r="B31" s="6" t="s">
        <v>15</v>
      </c>
      <c r="C31" s="7" t="n">
        <v>0.77</v>
      </c>
      <c r="D31" s="8" t="n">
        <v>5.4</v>
      </c>
      <c r="E31" s="10" t="s">
        <v>210</v>
      </c>
      <c r="F31" s="9" t="n">
        <v>1</v>
      </c>
      <c r="G31" s="9" t="n">
        <v>0.29</v>
      </c>
      <c r="H31" s="28" t="n">
        <v>740</v>
      </c>
      <c r="I31" s="10" t="n">
        <v>1</v>
      </c>
      <c r="J31" s="10" t="n">
        <v>0</v>
      </c>
      <c r="K31" s="7" t="n">
        <v>0.09</v>
      </c>
      <c r="L31" s="10" t="n">
        <v>0</v>
      </c>
    </row>
    <row r="32" customFormat="false" ht="15" hidden="false" customHeight="false" outlineLevel="0" collapsed="false">
      <c r="A32" s="11" t="s">
        <v>36</v>
      </c>
      <c r="B32" s="11" t="s">
        <v>36</v>
      </c>
      <c r="C32" s="12" t="n">
        <v>0.73</v>
      </c>
      <c r="D32" s="13" t="n">
        <v>4</v>
      </c>
      <c r="E32" s="15" t="s">
        <v>211</v>
      </c>
      <c r="F32" s="14" t="n">
        <v>1</v>
      </c>
      <c r="G32" s="14" t="n">
        <v>0.9</v>
      </c>
      <c r="H32" s="30" t="n">
        <v>503</v>
      </c>
      <c r="I32" s="15" t="n">
        <v>0</v>
      </c>
      <c r="J32" s="15" t="n">
        <v>0</v>
      </c>
      <c r="K32" s="12" t="n">
        <v>0</v>
      </c>
      <c r="L32" s="15" t="n">
        <v>0</v>
      </c>
    </row>
    <row r="33" customFormat="false" ht="15" hidden="false" customHeight="false" outlineLevel="0" collapsed="false">
      <c r="A33" s="6" t="s">
        <v>218</v>
      </c>
      <c r="B33" s="6" t="s">
        <v>15</v>
      </c>
      <c r="C33" s="7" t="n">
        <v>0.73</v>
      </c>
      <c r="D33" s="8" t="n">
        <v>5.8</v>
      </c>
      <c r="E33" s="10" t="s">
        <v>210</v>
      </c>
      <c r="F33" s="9" t="n">
        <v>1</v>
      </c>
      <c r="G33" s="9" t="n">
        <v>0.07</v>
      </c>
      <c r="H33" s="28" t="n">
        <v>1509</v>
      </c>
      <c r="I33" s="10" t="n">
        <v>0</v>
      </c>
      <c r="J33" s="10" t="n">
        <v>0</v>
      </c>
      <c r="K33" s="7" t="n">
        <v>0</v>
      </c>
      <c r="L33" s="10" t="n">
        <v>0</v>
      </c>
    </row>
    <row r="34" customFormat="false" ht="15" hidden="false" customHeight="false" outlineLevel="0" collapsed="false">
      <c r="A34" s="11" t="s">
        <v>37</v>
      </c>
      <c r="B34" s="11" t="s">
        <v>37</v>
      </c>
      <c r="C34" s="12" t="n">
        <v>0.67</v>
      </c>
      <c r="D34" s="13" t="n">
        <v>3.9</v>
      </c>
      <c r="E34" s="15" t="s">
        <v>211</v>
      </c>
      <c r="F34" s="14" t="n">
        <v>1</v>
      </c>
      <c r="G34" s="14" t="n">
        <v>1</v>
      </c>
      <c r="H34" s="30" t="n">
        <v>883</v>
      </c>
      <c r="I34" s="15" t="n">
        <v>0</v>
      </c>
      <c r="J34" s="15" t="n">
        <v>0</v>
      </c>
      <c r="K34" s="12" t="n">
        <v>0</v>
      </c>
      <c r="L34" s="15" t="n">
        <v>0</v>
      </c>
    </row>
    <row r="35" customFormat="false" ht="15" hidden="false" customHeight="false" outlineLevel="0" collapsed="false">
      <c r="A35" s="6" t="s">
        <v>219</v>
      </c>
      <c r="B35" s="6" t="s">
        <v>23</v>
      </c>
      <c r="C35" s="7" t="n">
        <v>0.61</v>
      </c>
      <c r="D35" s="8" t="n">
        <v>4.9</v>
      </c>
      <c r="E35" s="10" t="s">
        <v>210</v>
      </c>
      <c r="F35" s="9" t="n">
        <v>1</v>
      </c>
      <c r="G35" s="9" t="n">
        <v>0.39</v>
      </c>
      <c r="H35" s="28" t="n">
        <v>2822</v>
      </c>
      <c r="I35" s="10" t="n">
        <v>2</v>
      </c>
      <c r="J35" s="10" t="n">
        <v>0</v>
      </c>
      <c r="K35" s="7" t="n">
        <v>0.22</v>
      </c>
      <c r="L35" s="10" t="n">
        <v>4</v>
      </c>
    </row>
    <row r="36" customFormat="false" ht="15" hidden="false" customHeight="false" outlineLevel="0" collapsed="false">
      <c r="A36" s="11" t="s">
        <v>38</v>
      </c>
      <c r="B36" s="11" t="s">
        <v>38</v>
      </c>
      <c r="C36" s="12" t="n">
        <v>0.57</v>
      </c>
      <c r="D36" s="13" t="n">
        <v>3.8</v>
      </c>
      <c r="E36" s="15" t="s">
        <v>211</v>
      </c>
      <c r="F36" s="14" t="n">
        <v>1</v>
      </c>
      <c r="G36" s="14" t="n">
        <v>1</v>
      </c>
      <c r="H36" s="30" t="n">
        <v>1043</v>
      </c>
      <c r="I36" s="15" t="n">
        <v>2</v>
      </c>
      <c r="J36" s="15" t="n">
        <v>1</v>
      </c>
      <c r="K36" s="12" t="n">
        <v>0.23</v>
      </c>
      <c r="L36" s="15" t="n">
        <v>1</v>
      </c>
    </row>
    <row r="37" customFormat="false" ht="15" hidden="false" customHeight="false" outlineLevel="0" collapsed="false">
      <c r="A37" s="6" t="s">
        <v>39</v>
      </c>
      <c r="B37" s="6" t="s">
        <v>39</v>
      </c>
      <c r="C37" s="7" t="n">
        <v>0.49</v>
      </c>
      <c r="D37" s="8" t="n">
        <v>3.9</v>
      </c>
      <c r="E37" s="10" t="s">
        <v>211</v>
      </c>
      <c r="F37" s="9" t="n">
        <v>1</v>
      </c>
      <c r="G37" s="9" t="n">
        <v>1</v>
      </c>
      <c r="H37" s="28" t="n">
        <v>163</v>
      </c>
      <c r="I37" s="10" t="n">
        <v>1</v>
      </c>
      <c r="J37" s="10" t="n">
        <v>1</v>
      </c>
      <c r="K37" s="7" t="n">
        <v>0.14</v>
      </c>
      <c r="L37" s="10" t="n">
        <v>0</v>
      </c>
    </row>
    <row r="38" customFormat="false" ht="15" hidden="false" customHeight="false" outlineLevel="0" collapsed="false">
      <c r="A38" s="11" t="s">
        <v>220</v>
      </c>
      <c r="B38" s="11" t="s">
        <v>15</v>
      </c>
      <c r="C38" s="12" t="n">
        <v>0.26</v>
      </c>
      <c r="D38" s="13" t="n">
        <v>4</v>
      </c>
      <c r="E38" s="15" t="s">
        <v>211</v>
      </c>
      <c r="F38" s="14" t="n">
        <v>1</v>
      </c>
      <c r="G38" s="14" t="n">
        <v>1</v>
      </c>
      <c r="H38" s="30" t="n">
        <v>50</v>
      </c>
      <c r="I38" s="15" t="n">
        <v>1</v>
      </c>
      <c r="J38" s="15" t="n">
        <v>1</v>
      </c>
      <c r="K38" s="12" t="n">
        <v>0.26</v>
      </c>
      <c r="L38" s="15" t="n">
        <v>0</v>
      </c>
    </row>
    <row r="40" customFormat="false" ht="15" hidden="false" customHeight="false" outlineLevel="0" collapsed="false">
      <c r="A40" s="21" t="s">
        <v>221</v>
      </c>
      <c r="B40" s="21"/>
      <c r="C40" s="21"/>
      <c r="D40" s="21"/>
      <c r="E40" s="21"/>
      <c r="F40" s="21"/>
      <c r="G40" s="21"/>
      <c r="H40" s="21"/>
      <c r="I40" s="21"/>
      <c r="J40" s="21"/>
      <c r="K40" s="21"/>
      <c r="L40" s="21"/>
    </row>
  </sheetData>
  <mergeCells count="3">
    <mergeCell ref="A1:L1"/>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5" min="4" style="0" width="17"/>
    <col collapsed="false" customWidth="true" hidden="false" outlineLevel="0" max="7" min="6" style="0" width="12"/>
    <col collapsed="false" customWidth="true" hidden="false" outlineLevel="0" max="8" min="8" style="0" width="11"/>
  </cols>
  <sheetData>
    <row r="1" customFormat="false" ht="16.15" hidden="false" customHeight="false" outlineLevel="0" collapsed="false">
      <c r="A1" s="1" t="s">
        <v>222</v>
      </c>
      <c r="B1" s="1"/>
      <c r="C1" s="1"/>
      <c r="D1" s="1"/>
      <c r="E1" s="1"/>
      <c r="F1" s="1"/>
      <c r="G1" s="1"/>
      <c r="H1" s="1"/>
    </row>
    <row r="2" customFormat="false" ht="30" hidden="false" customHeight="true" outlineLevel="0" collapsed="false">
      <c r="A2" s="44" t="s">
        <v>223</v>
      </c>
      <c r="B2" s="44"/>
      <c r="C2" s="44"/>
      <c r="D2" s="44"/>
      <c r="E2" s="44"/>
      <c r="F2" s="44"/>
      <c r="G2" s="44"/>
      <c r="H2" s="44"/>
    </row>
    <row r="4" customFormat="false" ht="15" hidden="false" customHeight="false" outlineLevel="0" collapsed="false">
      <c r="A4" s="23" t="s">
        <v>224</v>
      </c>
      <c r="B4" s="25" t="n">
        <v>20</v>
      </c>
      <c r="C4" s="3" t="s">
        <v>225</v>
      </c>
    </row>
    <row r="6" customFormat="false" ht="39.75" hidden="false" customHeight="true" outlineLevel="0" collapsed="false">
      <c r="A6" s="5" t="s">
        <v>226</v>
      </c>
      <c r="B6" s="5" t="s">
        <v>227</v>
      </c>
      <c r="C6" s="5" t="s">
        <v>228</v>
      </c>
      <c r="D6" s="5" t="s">
        <v>229</v>
      </c>
      <c r="E6" s="5" t="s">
        <v>230</v>
      </c>
      <c r="F6" s="5" t="s">
        <v>231</v>
      </c>
      <c r="G6" s="5" t="s">
        <v>232</v>
      </c>
      <c r="H6" s="5" t="s">
        <v>233</v>
      </c>
    </row>
    <row r="7" customFormat="false" ht="15" hidden="false" customHeight="false" outlineLevel="0" collapsed="false">
      <c r="A7" s="6" t="s">
        <v>234</v>
      </c>
      <c r="B7" s="6" t="s">
        <v>235</v>
      </c>
      <c r="C7" s="8" t="n">
        <v>32.3</v>
      </c>
      <c r="D7" s="7" t="n">
        <v>11.64</v>
      </c>
      <c r="E7" s="7" t="n">
        <v>3.47</v>
      </c>
      <c r="F7" s="28" t="n">
        <f aca="false">D7*$B$4</f>
        <v>232.8</v>
      </c>
      <c r="G7" s="28" t="n">
        <f aca="false">D7*$B$4*2</f>
        <v>465.6</v>
      </c>
      <c r="H7" s="45" t="s">
        <v>236</v>
      </c>
    </row>
    <row r="8" customFormat="false" ht="15" hidden="false" customHeight="false" outlineLevel="0" collapsed="false">
      <c r="A8" s="11" t="s">
        <v>237</v>
      </c>
      <c r="B8" s="11" t="s">
        <v>235</v>
      </c>
      <c r="C8" s="13" t="n">
        <v>29.4</v>
      </c>
      <c r="D8" s="12" t="n">
        <v>10.75</v>
      </c>
      <c r="E8" s="12" t="n">
        <v>2.97</v>
      </c>
      <c r="F8" s="30" t="n">
        <f aca="false">D8*$B$4</f>
        <v>215</v>
      </c>
      <c r="G8" s="30" t="n">
        <f aca="false">D8*$B$4*2</f>
        <v>430</v>
      </c>
      <c r="H8" s="45" t="s">
        <v>236</v>
      </c>
    </row>
    <row r="9" customFormat="false" ht="15" hidden="false" customHeight="false" outlineLevel="0" collapsed="false">
      <c r="A9" s="6" t="s">
        <v>238</v>
      </c>
      <c r="B9" s="6" t="s">
        <v>235</v>
      </c>
      <c r="C9" s="8" t="n">
        <v>22.9</v>
      </c>
      <c r="D9" s="7" t="n">
        <v>8.2</v>
      </c>
      <c r="E9" s="7" t="n">
        <v>4.02</v>
      </c>
      <c r="F9" s="28" t="n">
        <f aca="false">D9*$B$4</f>
        <v>164</v>
      </c>
      <c r="G9" s="28" t="n">
        <f aca="false">D9*$B$4*2</f>
        <v>328</v>
      </c>
      <c r="H9" s="45" t="s">
        <v>236</v>
      </c>
    </row>
    <row r="10" customFormat="false" ht="15" hidden="false" customHeight="false" outlineLevel="0" collapsed="false">
      <c r="A10" s="11" t="s">
        <v>239</v>
      </c>
      <c r="B10" s="11" t="s">
        <v>235</v>
      </c>
      <c r="C10" s="13" t="n">
        <v>9.8</v>
      </c>
      <c r="D10" s="12" t="n">
        <v>5.07</v>
      </c>
      <c r="E10" s="12" t="n">
        <v>5.07</v>
      </c>
      <c r="F10" s="30" t="n">
        <f aca="false">D10*$B$4</f>
        <v>101.4</v>
      </c>
      <c r="G10" s="30" t="n">
        <f aca="false">D10*$B$4*2</f>
        <v>202.8</v>
      </c>
      <c r="H10" s="46" t="s">
        <v>240</v>
      </c>
    </row>
    <row r="11" customFormat="false" ht="15" hidden="false" customHeight="false" outlineLevel="0" collapsed="false">
      <c r="A11" s="6" t="s">
        <v>241</v>
      </c>
      <c r="B11" s="6" t="s">
        <v>235</v>
      </c>
      <c r="C11" s="8" t="n">
        <v>9.7</v>
      </c>
      <c r="D11" s="7" t="n">
        <v>5</v>
      </c>
      <c r="E11" s="7" t="n">
        <v>5</v>
      </c>
      <c r="F11" s="28" t="n">
        <f aca="false">D11*$B$4</f>
        <v>100</v>
      </c>
      <c r="G11" s="28" t="n">
        <f aca="false">D11*$B$4*2</f>
        <v>200</v>
      </c>
      <c r="H11" s="46" t="s">
        <v>240</v>
      </c>
    </row>
    <row r="12" customFormat="false" ht="15" hidden="false" customHeight="false" outlineLevel="0" collapsed="false">
      <c r="A12" s="11" t="s">
        <v>143</v>
      </c>
      <c r="B12" s="11" t="s">
        <v>235</v>
      </c>
      <c r="C12" s="13" t="n">
        <v>8.8</v>
      </c>
      <c r="D12" s="12" t="n">
        <v>4.91</v>
      </c>
      <c r="E12" s="12" t="n">
        <v>4.91</v>
      </c>
      <c r="F12" s="30" t="n">
        <f aca="false">D12*$B$4</f>
        <v>98.2</v>
      </c>
      <c r="G12" s="30" t="n">
        <f aca="false">D12*$B$4*2</f>
        <v>196.4</v>
      </c>
      <c r="H12" s="46" t="s">
        <v>240</v>
      </c>
    </row>
    <row r="13" customFormat="false" ht="15" hidden="false" customHeight="false" outlineLevel="0" collapsed="false">
      <c r="A13" s="6" t="s">
        <v>242</v>
      </c>
      <c r="B13" s="6" t="s">
        <v>235</v>
      </c>
      <c r="C13" s="8" t="n">
        <v>7.9</v>
      </c>
      <c r="D13" s="7" t="n">
        <v>4.68</v>
      </c>
      <c r="E13" s="7" t="n">
        <v>4.68</v>
      </c>
      <c r="F13" s="28" t="n">
        <f aca="false">D13*$B$4</f>
        <v>93.6</v>
      </c>
      <c r="G13" s="28" t="n">
        <f aca="false">D13*$B$4*2</f>
        <v>187.2</v>
      </c>
      <c r="H13" s="46" t="s">
        <v>240</v>
      </c>
    </row>
    <row r="14" customFormat="false" ht="15" hidden="false" customHeight="false" outlineLevel="0" collapsed="false">
      <c r="A14" s="11" t="s">
        <v>243</v>
      </c>
      <c r="B14" s="11" t="s">
        <v>235</v>
      </c>
      <c r="C14" s="13" t="n">
        <v>21.7</v>
      </c>
      <c r="D14" s="12" t="n">
        <v>2.45</v>
      </c>
      <c r="E14" s="12" t="n">
        <v>0.69</v>
      </c>
      <c r="F14" s="30" t="n">
        <f aca="false">D14*$B$4</f>
        <v>49</v>
      </c>
      <c r="G14" s="30" t="n">
        <f aca="false">D14*$B$4*2</f>
        <v>98</v>
      </c>
      <c r="H14" s="47" t="s">
        <v>244</v>
      </c>
    </row>
    <row r="15" customFormat="false" ht="15" hidden="false" customHeight="false" outlineLevel="0" collapsed="false">
      <c r="A15" s="6" t="s">
        <v>245</v>
      </c>
      <c r="B15" s="6" t="s">
        <v>235</v>
      </c>
      <c r="C15" s="8" t="n">
        <v>4.4</v>
      </c>
      <c r="D15" s="7" t="n">
        <v>2.39</v>
      </c>
      <c r="E15" s="7" t="n">
        <v>2.39</v>
      </c>
      <c r="F15" s="28" t="n">
        <f aca="false">D15*$B$4</f>
        <v>47.8</v>
      </c>
      <c r="G15" s="28" t="n">
        <f aca="false">D15*$B$4*2</f>
        <v>95.6</v>
      </c>
      <c r="H15" s="47" t="s">
        <v>244</v>
      </c>
    </row>
    <row r="16" customFormat="false" ht="15" hidden="false" customHeight="false" outlineLevel="0" collapsed="false">
      <c r="A16" s="11" t="s">
        <v>246</v>
      </c>
      <c r="B16" s="11" t="s">
        <v>235</v>
      </c>
      <c r="C16" s="13" t="n">
        <v>5.4</v>
      </c>
      <c r="D16" s="12" t="n">
        <v>2.31</v>
      </c>
      <c r="E16" s="12" t="n">
        <v>2.31</v>
      </c>
      <c r="F16" s="30" t="n">
        <f aca="false">D16*$B$4</f>
        <v>46.2</v>
      </c>
      <c r="G16" s="30" t="n">
        <f aca="false">D16*$B$4*2</f>
        <v>92.4</v>
      </c>
      <c r="H16" s="47" t="s">
        <v>244</v>
      </c>
    </row>
    <row r="17" customFormat="false" ht="15" hidden="false" customHeight="false" outlineLevel="0" collapsed="false">
      <c r="A17" s="6" t="s">
        <v>247</v>
      </c>
      <c r="B17" s="6" t="s">
        <v>235</v>
      </c>
      <c r="C17" s="8" t="n">
        <v>5.8</v>
      </c>
      <c r="D17" s="7" t="n">
        <v>2.25</v>
      </c>
      <c r="E17" s="7" t="n">
        <v>2.25</v>
      </c>
      <c r="F17" s="28" t="n">
        <f aca="false">D17*$B$4</f>
        <v>45</v>
      </c>
      <c r="G17" s="28" t="n">
        <f aca="false">D17*$B$4*2</f>
        <v>90</v>
      </c>
      <c r="H17" s="47" t="s">
        <v>244</v>
      </c>
    </row>
    <row r="18" customFormat="false" ht="15" hidden="false" customHeight="false" outlineLevel="0" collapsed="false">
      <c r="A18" s="11" t="s">
        <v>248</v>
      </c>
      <c r="B18" s="11" t="s">
        <v>235</v>
      </c>
      <c r="C18" s="13" t="n">
        <v>7.7</v>
      </c>
      <c r="D18" s="12" t="n">
        <v>2.21</v>
      </c>
      <c r="E18" s="12" t="n">
        <v>2.21</v>
      </c>
      <c r="F18" s="30" t="n">
        <f aca="false">D18*$B$4</f>
        <v>44.2</v>
      </c>
      <c r="G18" s="30" t="n">
        <f aca="false">D18*$B$4*2</f>
        <v>88.4</v>
      </c>
      <c r="H18" s="47" t="s">
        <v>244</v>
      </c>
    </row>
    <row r="19" customFormat="false" ht="15" hidden="false" customHeight="false" outlineLevel="0" collapsed="false">
      <c r="A19" s="6" t="s">
        <v>249</v>
      </c>
      <c r="B19" s="6" t="s">
        <v>235</v>
      </c>
      <c r="C19" s="8" t="n">
        <v>3.2</v>
      </c>
      <c r="D19" s="7" t="n">
        <v>2.07</v>
      </c>
      <c r="E19" s="7" t="n">
        <v>2.07</v>
      </c>
      <c r="F19" s="28" t="n">
        <f aca="false">D19*$B$4</f>
        <v>41.4</v>
      </c>
      <c r="G19" s="28" t="n">
        <f aca="false">D19*$B$4*2</f>
        <v>82.8</v>
      </c>
      <c r="H19" s="47" t="s">
        <v>244</v>
      </c>
    </row>
    <row r="20" customFormat="false" ht="15" hidden="false" customHeight="false" outlineLevel="0" collapsed="false">
      <c r="A20" s="11" t="s">
        <v>250</v>
      </c>
      <c r="B20" s="11" t="s">
        <v>251</v>
      </c>
      <c r="C20" s="13" t="n">
        <v>19.9</v>
      </c>
      <c r="D20" s="12" t="n">
        <v>1.93</v>
      </c>
      <c r="E20" s="12" t="n">
        <v>1.93</v>
      </c>
      <c r="F20" s="30" t="n">
        <f aca="false">D20*$B$4</f>
        <v>38.6</v>
      </c>
      <c r="G20" s="30" t="n">
        <f aca="false">D20*$B$4*2</f>
        <v>77.2</v>
      </c>
      <c r="H20" s="47" t="s">
        <v>244</v>
      </c>
    </row>
    <row r="21" customFormat="false" ht="15" hidden="false" customHeight="false" outlineLevel="0" collapsed="false">
      <c r="A21" s="6" t="s">
        <v>252</v>
      </c>
      <c r="B21" s="6" t="s">
        <v>251</v>
      </c>
      <c r="C21" s="8" t="n">
        <v>6.7</v>
      </c>
      <c r="D21" s="7" t="n">
        <v>1.93</v>
      </c>
      <c r="E21" s="7" t="n">
        <v>1.93</v>
      </c>
      <c r="F21" s="28" t="n">
        <f aca="false">D21*$B$4</f>
        <v>38.6</v>
      </c>
      <c r="G21" s="28" t="n">
        <f aca="false">D21*$B$4*2</f>
        <v>77.2</v>
      </c>
      <c r="H21" s="47" t="s">
        <v>244</v>
      </c>
    </row>
    <row r="22" customFormat="false" ht="15" hidden="false" customHeight="false" outlineLevel="0" collapsed="false">
      <c r="A22" s="11" t="s">
        <v>253</v>
      </c>
      <c r="B22" s="11" t="s">
        <v>251</v>
      </c>
      <c r="C22" s="13" t="n">
        <v>11.6</v>
      </c>
      <c r="D22" s="12" t="n">
        <v>1.93</v>
      </c>
      <c r="E22" s="12" t="n">
        <v>1.93</v>
      </c>
      <c r="F22" s="30" t="n">
        <f aca="false">D22*$B$4</f>
        <v>38.6</v>
      </c>
      <c r="G22" s="30" t="n">
        <f aca="false">D22*$B$4*2</f>
        <v>77.2</v>
      </c>
      <c r="H22" s="47" t="s">
        <v>244</v>
      </c>
    </row>
    <row r="23" customFormat="false" ht="15" hidden="false" customHeight="false" outlineLevel="0" collapsed="false">
      <c r="A23" s="6" t="s">
        <v>254</v>
      </c>
      <c r="B23" s="6" t="s">
        <v>235</v>
      </c>
      <c r="C23" s="8" t="n">
        <v>6.7</v>
      </c>
      <c r="D23" s="7" t="n">
        <v>1.68</v>
      </c>
      <c r="E23" s="7" t="n">
        <v>1.68</v>
      </c>
      <c r="F23" s="28" t="n">
        <f aca="false">D23*$B$4</f>
        <v>33.6</v>
      </c>
      <c r="G23" s="28" t="n">
        <f aca="false">D23*$B$4*2</f>
        <v>67.2</v>
      </c>
      <c r="H23" s="47" t="s">
        <v>244</v>
      </c>
    </row>
    <row r="24" customFormat="false" ht="15" hidden="false" customHeight="false" outlineLevel="0" collapsed="false">
      <c r="A24" s="11" t="s">
        <v>255</v>
      </c>
      <c r="B24" s="11" t="s">
        <v>235</v>
      </c>
      <c r="C24" s="13" t="n">
        <v>4.5</v>
      </c>
      <c r="D24" s="12" t="n">
        <v>0.49</v>
      </c>
      <c r="E24" s="12" t="n">
        <v>0</v>
      </c>
      <c r="F24" s="30" t="n">
        <f aca="false">D24*$B$4</f>
        <v>9.8</v>
      </c>
      <c r="G24" s="30" t="n">
        <f aca="false">D24*$B$4*2</f>
        <v>19.6</v>
      </c>
      <c r="H24" s="47" t="s">
        <v>244</v>
      </c>
    </row>
    <row r="25" customFormat="false" ht="15" hidden="false" customHeight="false" outlineLevel="0" collapsed="false">
      <c r="A25" s="6" t="s">
        <v>256</v>
      </c>
      <c r="B25" s="6" t="s">
        <v>257</v>
      </c>
      <c r="C25" s="8" t="n">
        <v>16.3</v>
      </c>
      <c r="D25" s="7" t="n">
        <v>0</v>
      </c>
      <c r="E25" s="7" t="n">
        <v>0</v>
      </c>
      <c r="F25" s="28" t="n">
        <f aca="false">D25*$B$4</f>
        <v>0</v>
      </c>
      <c r="G25" s="28" t="n">
        <f aca="false">D25*$B$4*2</f>
        <v>0</v>
      </c>
      <c r="H25" s="47" t="s">
        <v>244</v>
      </c>
    </row>
    <row r="26" customFormat="false" ht="15" hidden="false" customHeight="false" outlineLevel="0" collapsed="false">
      <c r="A26" s="11" t="s">
        <v>258</v>
      </c>
      <c r="B26" s="11" t="s">
        <v>257</v>
      </c>
      <c r="C26" s="13" t="n">
        <v>13.1</v>
      </c>
      <c r="D26" s="12" t="n">
        <v>0</v>
      </c>
      <c r="E26" s="12" t="n">
        <v>0</v>
      </c>
      <c r="F26" s="30" t="n">
        <f aca="false">D26*$B$4</f>
        <v>0</v>
      </c>
      <c r="G26" s="30" t="n">
        <f aca="false">D26*$B$4*2</f>
        <v>0</v>
      </c>
      <c r="H26" s="47" t="s">
        <v>244</v>
      </c>
    </row>
    <row r="28" customFormat="false" ht="24" hidden="false" customHeight="true" outlineLevel="0" collapsed="false">
      <c r="A28" s="48" t="s">
        <v>259</v>
      </c>
      <c r="B28" s="48"/>
      <c r="C28" s="48"/>
      <c r="D28" s="48"/>
      <c r="E28" s="48"/>
      <c r="F28" s="48"/>
      <c r="G28" s="48"/>
      <c r="H28" s="48"/>
    </row>
    <row r="29" customFormat="false" ht="24" hidden="false" customHeight="true" outlineLevel="0" collapsed="false">
      <c r="A29" s="48" t="s">
        <v>260</v>
      </c>
      <c r="B29" s="48"/>
      <c r="C29" s="48"/>
      <c r="D29" s="48"/>
      <c r="E29" s="48"/>
      <c r="F29" s="48"/>
      <c r="G29" s="48"/>
      <c r="H29" s="48"/>
    </row>
    <row r="30" customFormat="false" ht="24" hidden="false" customHeight="true" outlineLevel="0" collapsed="false">
      <c r="A30" s="48" t="s">
        <v>261</v>
      </c>
      <c r="B30" s="48"/>
      <c r="C30" s="48"/>
      <c r="D30" s="48"/>
      <c r="E30" s="48"/>
      <c r="F30" s="48"/>
      <c r="G30" s="48"/>
      <c r="H30" s="48"/>
    </row>
  </sheetData>
  <mergeCells count="5">
    <mergeCell ref="A1:H1"/>
    <mergeCell ref="A2:H2"/>
    <mergeCell ref="A28:H28"/>
    <mergeCell ref="A29:H29"/>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24"/>
    <col collapsed="false" customWidth="true" hidden="false" outlineLevel="0" max="3" min="3" style="0" width="17"/>
    <col collapsed="false" customWidth="true" hidden="false" outlineLevel="0" max="4" min="4" style="0" width="9"/>
    <col collapsed="false" customWidth="true" hidden="false" outlineLevel="0" max="5" min="5" style="0" width="7"/>
    <col collapsed="false" customWidth="true" hidden="false" outlineLevel="0" max="6" min="6" style="0" width="10"/>
    <col collapsed="false" customWidth="true" hidden="false" outlineLevel="0" max="7" min="7" style="0" width="13"/>
    <col collapsed="false" customWidth="true" hidden="false" outlineLevel="0" max="8" min="8" style="0" width="9"/>
    <col collapsed="false" customWidth="true" hidden="false" outlineLevel="0" max="10" min="9" style="0" width="7"/>
    <col collapsed="false" customWidth="true" hidden="false" outlineLevel="0" max="11" min="11" style="0" width="11"/>
    <col collapsed="false" customWidth="true" hidden="false" outlineLevel="0" max="12" min="12" style="0" width="10"/>
    <col collapsed="false" customWidth="true" hidden="false" outlineLevel="0" max="13" min="13" style="0" width="15"/>
    <col collapsed="false" customWidth="true" hidden="false" outlineLevel="0" max="14" min="14" style="0" width="13"/>
  </cols>
  <sheetData>
    <row r="1" customFormat="false" ht="16.15" hidden="false" customHeight="false" outlineLevel="0" collapsed="false">
      <c r="A1" s="1" t="s">
        <v>262</v>
      </c>
      <c r="B1" s="1"/>
      <c r="C1" s="1"/>
      <c r="D1" s="1"/>
      <c r="E1" s="1"/>
      <c r="F1" s="1"/>
      <c r="G1" s="1"/>
      <c r="H1" s="1"/>
      <c r="I1" s="1"/>
      <c r="J1" s="1"/>
      <c r="K1" s="1"/>
      <c r="L1" s="1"/>
      <c r="M1" s="1"/>
    </row>
    <row r="2" customFormat="false" ht="43.5" hidden="false" customHeight="true" outlineLevel="0" collapsed="false">
      <c r="A2" s="2" t="s">
        <v>263</v>
      </c>
      <c r="B2" s="2"/>
      <c r="C2" s="2"/>
      <c r="D2" s="2"/>
      <c r="E2" s="2"/>
      <c r="F2" s="2"/>
      <c r="G2" s="2"/>
      <c r="H2" s="2"/>
      <c r="I2" s="2"/>
      <c r="J2" s="2"/>
      <c r="K2" s="2"/>
      <c r="L2" s="2"/>
      <c r="M2" s="2"/>
    </row>
    <row r="4" customFormat="false" ht="39.75" hidden="false" customHeight="true" outlineLevel="0" collapsed="false">
      <c r="A4" s="5" t="s">
        <v>3</v>
      </c>
      <c r="B4" s="5" t="s">
        <v>264</v>
      </c>
      <c r="C4" s="5" t="s">
        <v>265</v>
      </c>
      <c r="D4" s="5" t="s">
        <v>266</v>
      </c>
      <c r="E4" s="5" t="s">
        <v>267</v>
      </c>
      <c r="F4" s="5" t="s">
        <v>268</v>
      </c>
      <c r="G4" s="5" t="s">
        <v>72</v>
      </c>
      <c r="H4" s="5" t="s">
        <v>269</v>
      </c>
      <c r="I4" s="5" t="s">
        <v>270</v>
      </c>
      <c r="J4" s="5" t="s">
        <v>271</v>
      </c>
      <c r="K4" s="5" t="s">
        <v>272</v>
      </c>
      <c r="L4" s="5" t="s">
        <v>79</v>
      </c>
      <c r="M4" s="5" t="s">
        <v>273</v>
      </c>
      <c r="N4" s="5" t="s">
        <v>274</v>
      </c>
    </row>
    <row r="5" customFormat="false" ht="15" hidden="false" customHeight="false" outlineLevel="0" collapsed="false">
      <c r="A5" s="6" t="s">
        <v>33</v>
      </c>
      <c r="B5" s="6" t="s">
        <v>275</v>
      </c>
      <c r="C5" s="6" t="s">
        <v>276</v>
      </c>
      <c r="D5" s="10" t="s">
        <v>277</v>
      </c>
      <c r="E5" s="7" t="n">
        <v>0.629</v>
      </c>
      <c r="F5" s="28" t="n">
        <v>413</v>
      </c>
      <c r="G5" s="28" t="n">
        <v>259</v>
      </c>
      <c r="H5" s="10" t="n">
        <v>3</v>
      </c>
      <c r="I5" s="10" t="n">
        <v>1</v>
      </c>
      <c r="J5" s="10" t="n">
        <v>1</v>
      </c>
      <c r="K5" s="7" t="n">
        <v>0.318</v>
      </c>
      <c r="L5" s="10" t="n">
        <v>11</v>
      </c>
      <c r="M5" s="6" t="s">
        <v>278</v>
      </c>
      <c r="N5" s="7" t="n">
        <v>0.45</v>
      </c>
    </row>
    <row r="6" customFormat="false" ht="15" hidden="false" customHeight="false" outlineLevel="0" collapsed="false">
      <c r="A6" s="11" t="s">
        <v>33</v>
      </c>
      <c r="B6" s="11" t="s">
        <v>279</v>
      </c>
      <c r="C6" s="11" t="s">
        <v>280</v>
      </c>
      <c r="D6" s="15" t="s">
        <v>281</v>
      </c>
      <c r="E6" s="12" t="n">
        <v>0.53</v>
      </c>
      <c r="F6" s="30" t="n">
        <v>700</v>
      </c>
      <c r="G6" s="30" t="n">
        <v>371</v>
      </c>
      <c r="H6" s="15" t="n">
        <v>1</v>
      </c>
      <c r="I6" s="15" t="n">
        <v>0</v>
      </c>
      <c r="J6" s="15" t="n">
        <v>1</v>
      </c>
      <c r="K6" s="12" t="n">
        <v>0.126</v>
      </c>
      <c r="L6" s="15" t="n">
        <v>0</v>
      </c>
      <c r="M6" s="11" t="s">
        <v>278</v>
      </c>
      <c r="N6" s="12" t="n">
        <v>0.06</v>
      </c>
    </row>
    <row r="7" customFormat="false" ht="15" hidden="false" customHeight="false" outlineLevel="0" collapsed="false">
      <c r="A7" s="6" t="s">
        <v>28</v>
      </c>
      <c r="B7" s="6" t="s">
        <v>282</v>
      </c>
      <c r="C7" s="6" t="s">
        <v>280</v>
      </c>
      <c r="D7" s="10" t="s">
        <v>283</v>
      </c>
      <c r="E7" s="7" t="n">
        <v>0.778</v>
      </c>
      <c r="F7" s="28" t="n">
        <v>1049</v>
      </c>
      <c r="G7" s="28" t="n">
        <v>816</v>
      </c>
      <c r="H7" s="10" t="n">
        <v>1</v>
      </c>
      <c r="I7" s="10" t="n">
        <v>0</v>
      </c>
      <c r="J7" s="10" t="n">
        <v>0</v>
      </c>
      <c r="K7" s="7" t="n">
        <v>0.086</v>
      </c>
      <c r="L7" s="10" t="n">
        <v>0</v>
      </c>
      <c r="M7" s="6" t="s">
        <v>278</v>
      </c>
      <c r="N7" s="7" t="n">
        <v>0.03</v>
      </c>
    </row>
    <row r="8" customFormat="false" ht="15" hidden="false" customHeight="false" outlineLevel="0" collapsed="false">
      <c r="A8" s="11" t="s">
        <v>28</v>
      </c>
      <c r="B8" s="11" t="s">
        <v>284</v>
      </c>
      <c r="C8" s="11" t="s">
        <v>280</v>
      </c>
      <c r="D8" s="15" t="s">
        <v>285</v>
      </c>
      <c r="E8" s="12" t="n">
        <v>0.404</v>
      </c>
      <c r="F8" s="30" t="n">
        <v>216</v>
      </c>
      <c r="G8" s="30" t="n">
        <v>87</v>
      </c>
      <c r="H8" s="15" t="n">
        <v>1</v>
      </c>
      <c r="I8" s="15" t="n">
        <v>0</v>
      </c>
      <c r="J8" s="15" t="n">
        <v>0</v>
      </c>
      <c r="K8" s="12" t="n">
        <v>0.165</v>
      </c>
      <c r="L8" s="15" t="n">
        <v>0</v>
      </c>
      <c r="M8" s="11" t="s">
        <v>278</v>
      </c>
      <c r="N8" s="12" t="n">
        <v>0.25</v>
      </c>
    </row>
    <row r="9" customFormat="false" ht="15" hidden="false" customHeight="false" outlineLevel="0" collapsed="false">
      <c r="A9" s="6" t="s">
        <v>28</v>
      </c>
      <c r="B9" s="6" t="s">
        <v>286</v>
      </c>
      <c r="C9" s="6" t="s">
        <v>280</v>
      </c>
      <c r="D9" s="10" t="s">
        <v>287</v>
      </c>
      <c r="E9" s="7" t="n">
        <v>0.201</v>
      </c>
      <c r="F9" s="28" t="n">
        <v>235</v>
      </c>
      <c r="G9" s="28" t="n">
        <v>47</v>
      </c>
      <c r="H9" s="10" t="n">
        <v>0</v>
      </c>
      <c r="I9" s="10" t="n">
        <v>0</v>
      </c>
      <c r="J9" s="10" t="n">
        <v>0</v>
      </c>
      <c r="K9" s="7" t="n">
        <v>0</v>
      </c>
      <c r="L9" s="10" t="n">
        <v>0</v>
      </c>
      <c r="M9" s="6" t="s">
        <v>278</v>
      </c>
      <c r="N9" s="7" t="n">
        <v>0</v>
      </c>
    </row>
    <row r="10" customFormat="false" ht="15" hidden="false" customHeight="false" outlineLevel="0" collapsed="false">
      <c r="A10" s="11" t="s">
        <v>23</v>
      </c>
      <c r="B10" s="11" t="s">
        <v>288</v>
      </c>
      <c r="C10" s="11" t="s">
        <v>276</v>
      </c>
      <c r="D10" s="15" t="s">
        <v>289</v>
      </c>
      <c r="E10" s="12" t="n">
        <v>0.302</v>
      </c>
      <c r="F10" s="30" t="n">
        <v>9035</v>
      </c>
      <c r="G10" s="30" t="n">
        <v>2727</v>
      </c>
      <c r="H10" s="15" t="n">
        <v>1</v>
      </c>
      <c r="I10" s="15" t="n">
        <v>0</v>
      </c>
      <c r="J10" s="15" t="n">
        <v>0</v>
      </c>
      <c r="K10" s="12" t="n">
        <v>0.221</v>
      </c>
      <c r="L10" s="15" t="n">
        <v>4</v>
      </c>
      <c r="M10" s="11" t="s">
        <v>278</v>
      </c>
      <c r="N10" s="12" t="n">
        <v>0.01</v>
      </c>
    </row>
    <row r="11" customFormat="false" ht="15" hidden="false" customHeight="false" outlineLevel="0" collapsed="false">
      <c r="A11" s="6" t="s">
        <v>23</v>
      </c>
      <c r="B11" s="6" t="s">
        <v>290</v>
      </c>
      <c r="C11" s="6" t="s">
        <v>280</v>
      </c>
      <c r="D11" s="10" t="s">
        <v>291</v>
      </c>
      <c r="E11" s="7" t="n">
        <v>1.536</v>
      </c>
      <c r="F11" s="28" t="n">
        <v>11568</v>
      </c>
      <c r="G11" s="28" t="n">
        <v>17771</v>
      </c>
      <c r="H11" s="10" t="n">
        <v>40</v>
      </c>
      <c r="I11" s="10" t="n">
        <v>4</v>
      </c>
      <c r="J11" s="10" t="n">
        <v>9</v>
      </c>
      <c r="K11" s="7" t="n">
        <v>1.736</v>
      </c>
      <c r="L11" s="10" t="n">
        <v>129</v>
      </c>
      <c r="M11" s="6" t="s">
        <v>292</v>
      </c>
      <c r="N11" s="7" t="n">
        <v>0.08</v>
      </c>
    </row>
    <row r="12" customFormat="false" ht="15" hidden="false" customHeight="false" outlineLevel="0" collapsed="false">
      <c r="A12" s="11" t="s">
        <v>26</v>
      </c>
      <c r="B12" s="11" t="s">
        <v>293</v>
      </c>
      <c r="C12" s="11" t="s">
        <v>276</v>
      </c>
      <c r="D12" s="15" t="s">
        <v>294</v>
      </c>
      <c r="E12" s="12" t="n">
        <v>0.393</v>
      </c>
      <c r="F12" s="30" t="n">
        <v>3002</v>
      </c>
      <c r="G12" s="30" t="n">
        <v>1180</v>
      </c>
      <c r="H12" s="15" t="n">
        <v>2</v>
      </c>
      <c r="I12" s="15" t="n">
        <v>0</v>
      </c>
      <c r="J12" s="15" t="n">
        <v>1</v>
      </c>
      <c r="K12" s="12" t="n">
        <v>0.339</v>
      </c>
      <c r="L12" s="15" t="n">
        <v>0</v>
      </c>
      <c r="M12" s="11" t="s">
        <v>278</v>
      </c>
      <c r="N12" s="12" t="n">
        <v>0.04</v>
      </c>
    </row>
    <row r="13" customFormat="false" ht="15" hidden="false" customHeight="false" outlineLevel="0" collapsed="false">
      <c r="A13" s="6" t="s">
        <v>26</v>
      </c>
      <c r="B13" s="6" t="s">
        <v>295</v>
      </c>
      <c r="C13" s="6" t="s">
        <v>276</v>
      </c>
      <c r="D13" s="10" t="s">
        <v>296</v>
      </c>
      <c r="E13" s="7" t="n">
        <v>0.373</v>
      </c>
      <c r="F13" s="28" t="n">
        <v>3000</v>
      </c>
      <c r="G13" s="28" t="n">
        <v>1119</v>
      </c>
      <c r="H13" s="10" t="n">
        <v>1</v>
      </c>
      <c r="I13" s="10" t="n">
        <v>0</v>
      </c>
      <c r="J13" s="10" t="n">
        <v>0</v>
      </c>
      <c r="K13" s="7" t="n">
        <v>0.179</v>
      </c>
      <c r="L13" s="10" t="n">
        <v>3</v>
      </c>
      <c r="M13" s="6" t="s">
        <v>278</v>
      </c>
      <c r="N13" s="7" t="n">
        <v>0.03</v>
      </c>
    </row>
    <row r="14" customFormat="false" ht="15" hidden="false" customHeight="false" outlineLevel="0" collapsed="false">
      <c r="A14" s="11" t="s">
        <v>26</v>
      </c>
      <c r="B14" s="11" t="s">
        <v>282</v>
      </c>
      <c r="C14" s="11" t="s">
        <v>280</v>
      </c>
      <c r="D14" s="15" t="s">
        <v>297</v>
      </c>
      <c r="E14" s="12" t="n">
        <v>0.823</v>
      </c>
      <c r="F14" s="30" t="n">
        <v>390</v>
      </c>
      <c r="G14" s="30" t="n">
        <v>321</v>
      </c>
      <c r="H14" s="15" t="n">
        <v>2</v>
      </c>
      <c r="I14" s="15" t="n">
        <v>1</v>
      </c>
      <c r="J14" s="15" t="n">
        <v>1</v>
      </c>
      <c r="K14" s="12" t="n">
        <v>0.162</v>
      </c>
      <c r="L14" s="15" t="n">
        <v>0</v>
      </c>
      <c r="M14" s="11" t="s">
        <v>278</v>
      </c>
      <c r="N14" s="12" t="n">
        <v>0.13</v>
      </c>
    </row>
    <row r="15" customFormat="false" ht="15" hidden="false" customHeight="false" outlineLevel="0" collapsed="false">
      <c r="A15" s="6" t="s">
        <v>38</v>
      </c>
      <c r="B15" s="6" t="s">
        <v>282</v>
      </c>
      <c r="C15" s="6" t="s">
        <v>280</v>
      </c>
      <c r="D15" s="10" t="s">
        <v>298</v>
      </c>
      <c r="E15" s="7" t="n">
        <v>0.524</v>
      </c>
      <c r="F15" s="28" t="n">
        <v>1837</v>
      </c>
      <c r="G15" s="28" t="n">
        <v>963</v>
      </c>
      <c r="H15" s="10" t="n">
        <v>2</v>
      </c>
      <c r="I15" s="10" t="n">
        <v>1</v>
      </c>
      <c r="J15" s="10" t="n">
        <v>0</v>
      </c>
      <c r="K15" s="7" t="n">
        <v>0.254</v>
      </c>
      <c r="L15" s="10" t="n">
        <v>1</v>
      </c>
      <c r="M15" s="6" t="s">
        <v>278</v>
      </c>
      <c r="N15" s="7" t="n">
        <v>0.05</v>
      </c>
    </row>
    <row r="16" customFormat="false" ht="15" hidden="false" customHeight="false" outlineLevel="0" collapsed="false">
      <c r="A16" s="11" t="s">
        <v>39</v>
      </c>
      <c r="B16" s="11" t="s">
        <v>282</v>
      </c>
      <c r="C16" s="11" t="s">
        <v>280</v>
      </c>
      <c r="D16" s="15" t="s">
        <v>299</v>
      </c>
      <c r="E16" s="12" t="n">
        <v>0.413</v>
      </c>
      <c r="F16" s="30" t="n">
        <v>260</v>
      </c>
      <c r="G16" s="30" t="n">
        <v>107</v>
      </c>
      <c r="H16" s="15" t="n">
        <v>1</v>
      </c>
      <c r="I16" s="15" t="n">
        <v>1</v>
      </c>
      <c r="J16" s="15" t="n">
        <v>0</v>
      </c>
      <c r="K16" s="12" t="n">
        <v>0.161</v>
      </c>
      <c r="L16" s="15" t="n">
        <v>0</v>
      </c>
      <c r="M16" s="11" t="s">
        <v>278</v>
      </c>
      <c r="N16" s="12" t="n">
        <v>0.2</v>
      </c>
    </row>
    <row r="17" customFormat="false" ht="15" hidden="false" customHeight="false" outlineLevel="0" collapsed="false">
      <c r="A17" s="6" t="s">
        <v>24</v>
      </c>
      <c r="B17" s="6" t="s">
        <v>300</v>
      </c>
      <c r="C17" s="6" t="s">
        <v>280</v>
      </c>
      <c r="D17" s="10" t="s">
        <v>301</v>
      </c>
      <c r="E17" s="7" t="n">
        <v>0.657</v>
      </c>
      <c r="F17" s="28" t="n">
        <v>3122</v>
      </c>
      <c r="G17" s="28" t="n">
        <v>2050</v>
      </c>
      <c r="H17" s="10" t="n">
        <v>1</v>
      </c>
      <c r="I17" s="10" t="n">
        <v>0</v>
      </c>
      <c r="J17" s="10" t="n">
        <v>1</v>
      </c>
      <c r="K17" s="7" t="n">
        <v>0.102</v>
      </c>
      <c r="L17" s="10" t="n">
        <v>12</v>
      </c>
      <c r="M17" s="6" t="s">
        <v>278</v>
      </c>
      <c r="N17" s="7" t="n">
        <v>0.04</v>
      </c>
    </row>
    <row r="18" customFormat="false" ht="15" hidden="false" customHeight="false" outlineLevel="0" collapsed="false">
      <c r="A18" s="11" t="s">
        <v>24</v>
      </c>
      <c r="B18" s="11" t="s">
        <v>282</v>
      </c>
      <c r="C18" s="11" t="s">
        <v>280</v>
      </c>
      <c r="D18" s="15" t="s">
        <v>302</v>
      </c>
      <c r="E18" s="12" t="n">
        <v>0.582</v>
      </c>
      <c r="F18" s="30" t="n">
        <v>1315</v>
      </c>
      <c r="G18" s="30" t="n">
        <v>766</v>
      </c>
      <c r="H18" s="15" t="n">
        <v>0</v>
      </c>
      <c r="I18" s="15" t="n">
        <v>0</v>
      </c>
      <c r="J18" s="15" t="n">
        <v>0</v>
      </c>
      <c r="K18" s="12" t="n">
        <v>0</v>
      </c>
      <c r="L18" s="15" t="n">
        <v>1</v>
      </c>
      <c r="M18" s="11" t="s">
        <v>278</v>
      </c>
      <c r="N18" s="12" t="n">
        <v>0.01</v>
      </c>
    </row>
    <row r="19" customFormat="false" ht="15" hidden="false" customHeight="false" outlineLevel="0" collapsed="false">
      <c r="A19" s="6" t="s">
        <v>24</v>
      </c>
      <c r="B19" s="6" t="s">
        <v>303</v>
      </c>
      <c r="C19" s="6" t="s">
        <v>280</v>
      </c>
      <c r="D19" s="10" t="s">
        <v>304</v>
      </c>
      <c r="E19" s="7" t="n">
        <v>0.437</v>
      </c>
      <c r="F19" s="28" t="n">
        <v>1724</v>
      </c>
      <c r="G19" s="28" t="n">
        <v>754</v>
      </c>
      <c r="H19" s="10" t="n">
        <v>3</v>
      </c>
      <c r="I19" s="10" t="n">
        <v>0</v>
      </c>
      <c r="J19" s="10" t="n">
        <v>2</v>
      </c>
      <c r="K19" s="7" t="n">
        <v>0.457</v>
      </c>
      <c r="L19" s="10" t="n">
        <v>2</v>
      </c>
      <c r="M19" s="6" t="s">
        <v>278</v>
      </c>
      <c r="N19" s="7" t="n">
        <v>0.1</v>
      </c>
    </row>
    <row r="20" customFormat="false" ht="15" hidden="false" customHeight="false" outlineLevel="0" collapsed="false">
      <c r="A20" s="11" t="s">
        <v>24</v>
      </c>
      <c r="B20" s="11" t="s">
        <v>305</v>
      </c>
      <c r="C20" s="11" t="s">
        <v>280</v>
      </c>
      <c r="D20" s="15" t="s">
        <v>304</v>
      </c>
      <c r="E20" s="12" t="n">
        <v>0.28</v>
      </c>
      <c r="F20" s="30" t="n">
        <v>1229</v>
      </c>
      <c r="G20" s="30" t="n">
        <v>344</v>
      </c>
      <c r="H20" s="15" t="n">
        <v>0</v>
      </c>
      <c r="I20" s="15" t="n">
        <v>0</v>
      </c>
      <c r="J20" s="15" t="n">
        <v>0</v>
      </c>
      <c r="K20" s="12" t="n">
        <v>0</v>
      </c>
      <c r="L20" s="15" t="n">
        <v>0</v>
      </c>
      <c r="M20" s="11" t="s">
        <v>278</v>
      </c>
      <c r="N20" s="12" t="n">
        <v>0</v>
      </c>
    </row>
    <row r="21" customFormat="false" ht="15" hidden="false" customHeight="false" outlineLevel="0" collapsed="false">
      <c r="A21" s="6" t="s">
        <v>37</v>
      </c>
      <c r="B21" s="6" t="s">
        <v>306</v>
      </c>
      <c r="C21" s="6" t="s">
        <v>280</v>
      </c>
      <c r="D21" s="10" t="s">
        <v>307</v>
      </c>
      <c r="E21" s="7" t="n">
        <v>0.461</v>
      </c>
      <c r="F21" s="28" t="n">
        <v>1099</v>
      </c>
      <c r="G21" s="28" t="n">
        <v>507</v>
      </c>
      <c r="H21" s="10" t="n">
        <v>1</v>
      </c>
      <c r="I21" s="10" t="n">
        <v>0</v>
      </c>
      <c r="J21" s="10" t="n">
        <v>0</v>
      </c>
      <c r="K21" s="7" t="n">
        <v>0.145</v>
      </c>
      <c r="L21" s="10" t="n">
        <v>0</v>
      </c>
      <c r="M21" s="6" t="s">
        <v>278</v>
      </c>
      <c r="N21" s="7" t="n">
        <v>0.04</v>
      </c>
    </row>
    <row r="22" customFormat="false" ht="15" hidden="false" customHeight="false" outlineLevel="0" collapsed="false">
      <c r="A22" s="11" t="s">
        <v>21</v>
      </c>
      <c r="B22" s="11" t="s">
        <v>308</v>
      </c>
      <c r="C22" s="11" t="s">
        <v>276</v>
      </c>
      <c r="D22" s="15" t="s">
        <v>309</v>
      </c>
      <c r="E22" s="12" t="n">
        <v>0.632</v>
      </c>
      <c r="F22" s="30" t="n">
        <v>2923</v>
      </c>
      <c r="G22" s="30" t="n">
        <v>1848</v>
      </c>
      <c r="H22" s="15" t="n">
        <v>3</v>
      </c>
      <c r="I22" s="15" t="n">
        <v>1</v>
      </c>
      <c r="J22" s="15" t="n">
        <v>1</v>
      </c>
      <c r="K22" s="12" t="n">
        <v>0.316</v>
      </c>
      <c r="L22" s="15" t="n">
        <v>13</v>
      </c>
      <c r="M22" s="11" t="s">
        <v>278</v>
      </c>
      <c r="N22" s="12" t="n">
        <v>0.07</v>
      </c>
    </row>
    <row r="23" customFormat="false" ht="15" hidden="false" customHeight="false" outlineLevel="0" collapsed="false">
      <c r="A23" s="6" t="s">
        <v>21</v>
      </c>
      <c r="B23" s="6" t="s">
        <v>310</v>
      </c>
      <c r="C23" s="6" t="s">
        <v>276</v>
      </c>
      <c r="D23" s="10" t="s">
        <v>311</v>
      </c>
      <c r="E23" s="7" t="n">
        <v>0.863</v>
      </c>
      <c r="F23" s="28" t="n">
        <v>2091</v>
      </c>
      <c r="G23" s="28" t="n">
        <v>1804</v>
      </c>
      <c r="H23" s="10" t="n">
        <v>4</v>
      </c>
      <c r="I23" s="10" t="n">
        <v>1</v>
      </c>
      <c r="J23" s="10" t="n">
        <v>2</v>
      </c>
      <c r="K23" s="7" t="n">
        <v>0.309</v>
      </c>
      <c r="L23" s="10" t="n">
        <v>1</v>
      </c>
      <c r="M23" s="6" t="s">
        <v>278</v>
      </c>
      <c r="N23" s="7" t="n">
        <v>0.05</v>
      </c>
    </row>
    <row r="24" customFormat="false" ht="15" hidden="false" customHeight="false" outlineLevel="0" collapsed="false">
      <c r="A24" s="11" t="s">
        <v>21</v>
      </c>
      <c r="B24" s="11" t="s">
        <v>312</v>
      </c>
      <c r="C24" s="11" t="s">
        <v>276</v>
      </c>
      <c r="D24" s="15" t="s">
        <v>309</v>
      </c>
      <c r="E24" s="12" t="n">
        <v>0.345</v>
      </c>
      <c r="F24" s="30" t="n">
        <v>3569</v>
      </c>
      <c r="G24" s="30" t="n">
        <v>1233</v>
      </c>
      <c r="H24" s="15" t="n">
        <v>2</v>
      </c>
      <c r="I24" s="15" t="n">
        <v>0</v>
      </c>
      <c r="J24" s="15" t="n">
        <v>1</v>
      </c>
      <c r="K24" s="12" t="n">
        <v>0.386</v>
      </c>
      <c r="L24" s="15" t="n">
        <v>5</v>
      </c>
      <c r="M24" s="11" t="s">
        <v>278</v>
      </c>
      <c r="N24" s="12" t="n">
        <v>0.05</v>
      </c>
    </row>
    <row r="25" customFormat="false" ht="15" hidden="false" customHeight="false" outlineLevel="0" collapsed="false">
      <c r="A25" s="6" t="s">
        <v>21</v>
      </c>
      <c r="B25" s="6" t="s">
        <v>313</v>
      </c>
      <c r="C25" s="6" t="s">
        <v>280</v>
      </c>
      <c r="D25" s="10" t="s">
        <v>314</v>
      </c>
      <c r="E25" s="7" t="n">
        <v>0.295</v>
      </c>
      <c r="F25" s="28" t="n">
        <v>1062</v>
      </c>
      <c r="G25" s="28" t="n">
        <v>313</v>
      </c>
      <c r="H25" s="10" t="n">
        <v>1</v>
      </c>
      <c r="I25" s="10" t="n">
        <v>0</v>
      </c>
      <c r="J25" s="10" t="n">
        <v>0</v>
      </c>
      <c r="K25" s="7" t="n">
        <v>0.226</v>
      </c>
      <c r="L25" s="10" t="n">
        <v>0</v>
      </c>
      <c r="M25" s="6" t="s">
        <v>278</v>
      </c>
      <c r="N25" s="7" t="n">
        <v>0.07</v>
      </c>
    </row>
    <row r="26" customFormat="false" ht="15" hidden="false" customHeight="false" outlineLevel="0" collapsed="false">
      <c r="A26" s="11" t="s">
        <v>21</v>
      </c>
      <c r="B26" s="11" t="s">
        <v>315</v>
      </c>
      <c r="C26" s="11" t="s">
        <v>280</v>
      </c>
      <c r="D26" s="15" t="s">
        <v>316</v>
      </c>
      <c r="E26" s="12" t="n">
        <v>0.227</v>
      </c>
      <c r="F26" s="30" t="n">
        <v>768</v>
      </c>
      <c r="G26" s="30" t="n">
        <v>174</v>
      </c>
      <c r="H26" s="15" t="n">
        <v>0</v>
      </c>
      <c r="I26" s="15" t="n">
        <v>0</v>
      </c>
      <c r="J26" s="15" t="n">
        <v>0</v>
      </c>
      <c r="K26" s="12" t="n">
        <v>0</v>
      </c>
      <c r="L26" s="15" t="n">
        <v>0</v>
      </c>
      <c r="M26" s="11" t="s">
        <v>278</v>
      </c>
      <c r="N26" s="12" t="n">
        <v>0</v>
      </c>
    </row>
    <row r="27" customFormat="false" ht="15" hidden="false" customHeight="false" outlineLevel="0" collapsed="false">
      <c r="A27" s="6" t="s">
        <v>21</v>
      </c>
      <c r="B27" s="6" t="s">
        <v>317</v>
      </c>
      <c r="C27" s="6" t="s">
        <v>280</v>
      </c>
      <c r="D27" s="10" t="s">
        <v>318</v>
      </c>
      <c r="E27" s="7" t="n">
        <v>0.388</v>
      </c>
      <c r="F27" s="28" t="n">
        <v>437</v>
      </c>
      <c r="G27" s="28" t="n">
        <v>169</v>
      </c>
      <c r="H27" s="10" t="n">
        <v>2</v>
      </c>
      <c r="I27" s="10" t="n">
        <v>1</v>
      </c>
      <c r="J27" s="10" t="n">
        <v>1</v>
      </c>
      <c r="K27" s="7" t="n">
        <v>0.344</v>
      </c>
      <c r="L27" s="10" t="n">
        <v>0</v>
      </c>
      <c r="M27" s="6" t="s">
        <v>278</v>
      </c>
      <c r="N27" s="7" t="n">
        <v>0.26</v>
      </c>
    </row>
    <row r="28" customFormat="false" ht="15" hidden="false" customHeight="false" outlineLevel="0" collapsed="false">
      <c r="A28" s="11" t="s">
        <v>27</v>
      </c>
      <c r="B28" s="11" t="s">
        <v>308</v>
      </c>
      <c r="C28" s="11" t="s">
        <v>280</v>
      </c>
      <c r="D28" s="15" t="s">
        <v>319</v>
      </c>
      <c r="E28" s="12" t="n">
        <v>1.351</v>
      </c>
      <c r="F28" s="30" t="n">
        <v>964</v>
      </c>
      <c r="G28" s="30" t="n">
        <v>1302</v>
      </c>
      <c r="H28" s="15" t="n">
        <v>7</v>
      </c>
      <c r="I28" s="15" t="n">
        <v>0</v>
      </c>
      <c r="J28" s="15" t="n">
        <v>6</v>
      </c>
      <c r="K28" s="12" t="n">
        <v>0.346</v>
      </c>
      <c r="L28" s="15" t="n">
        <v>1</v>
      </c>
      <c r="M28" s="11" t="s">
        <v>278</v>
      </c>
      <c r="N28" s="12" t="n">
        <v>0.12</v>
      </c>
    </row>
    <row r="29" customFormat="false" ht="15" hidden="false" customHeight="false" outlineLevel="0" collapsed="false">
      <c r="A29" s="6" t="s">
        <v>29</v>
      </c>
      <c r="B29" s="6" t="s">
        <v>320</v>
      </c>
      <c r="C29" s="6" t="s">
        <v>280</v>
      </c>
      <c r="D29" s="10" t="s">
        <v>321</v>
      </c>
      <c r="E29" s="7" t="n">
        <v>0.222</v>
      </c>
      <c r="F29" s="28" t="n">
        <v>2607</v>
      </c>
      <c r="G29" s="28" t="n">
        <v>579</v>
      </c>
      <c r="H29" s="10" t="n">
        <v>0</v>
      </c>
      <c r="I29" s="10" t="n">
        <v>0</v>
      </c>
      <c r="J29" s="10" t="n">
        <v>0</v>
      </c>
      <c r="K29" s="7" t="n">
        <v>0</v>
      </c>
      <c r="L29" s="10" t="n">
        <v>1</v>
      </c>
      <c r="M29" s="6" t="s">
        <v>278</v>
      </c>
      <c r="N29" s="7" t="n">
        <v>0.01</v>
      </c>
    </row>
    <row r="30" customFormat="false" ht="15" hidden="false" customHeight="false" outlineLevel="0" collapsed="false">
      <c r="A30" s="11" t="s">
        <v>29</v>
      </c>
      <c r="B30" s="11" t="s">
        <v>322</v>
      </c>
      <c r="C30" s="11" t="s">
        <v>280</v>
      </c>
      <c r="D30" s="15" t="s">
        <v>321</v>
      </c>
      <c r="E30" s="12" t="n">
        <v>0.241</v>
      </c>
      <c r="F30" s="30" t="n">
        <v>1245</v>
      </c>
      <c r="G30" s="30" t="n">
        <v>300</v>
      </c>
      <c r="H30" s="15" t="n">
        <v>2</v>
      </c>
      <c r="I30" s="15" t="n">
        <v>0</v>
      </c>
      <c r="J30" s="15" t="n">
        <v>1</v>
      </c>
      <c r="K30" s="12" t="n">
        <v>0.553</v>
      </c>
      <c r="L30" s="15" t="n">
        <v>0</v>
      </c>
      <c r="M30" s="11" t="s">
        <v>278</v>
      </c>
      <c r="N30" s="12" t="n">
        <v>0.14</v>
      </c>
    </row>
    <row r="31" customFormat="false" ht="15" hidden="false" customHeight="false" outlineLevel="0" collapsed="false">
      <c r="A31" s="6" t="s">
        <v>29</v>
      </c>
      <c r="B31" s="6" t="s">
        <v>323</v>
      </c>
      <c r="C31" s="6" t="s">
        <v>280</v>
      </c>
      <c r="D31" s="10" t="s">
        <v>324</v>
      </c>
      <c r="E31" s="7" t="n">
        <v>0.395</v>
      </c>
      <c r="F31" s="28" t="n">
        <v>707</v>
      </c>
      <c r="G31" s="28" t="n">
        <v>279</v>
      </c>
      <c r="H31" s="10" t="n">
        <v>0</v>
      </c>
      <c r="I31" s="10" t="n">
        <v>0</v>
      </c>
      <c r="J31" s="10" t="n">
        <v>0</v>
      </c>
      <c r="K31" s="7" t="n">
        <v>0</v>
      </c>
      <c r="L31" s="10" t="n">
        <v>0</v>
      </c>
      <c r="M31" s="6" t="s">
        <v>278</v>
      </c>
      <c r="N31" s="7" t="n">
        <v>0</v>
      </c>
    </row>
    <row r="32" customFormat="false" ht="15" hidden="false" customHeight="false" outlineLevel="0" collapsed="false">
      <c r="A32" s="11" t="s">
        <v>29</v>
      </c>
      <c r="B32" s="11" t="s">
        <v>325</v>
      </c>
      <c r="C32" s="11" t="s">
        <v>280</v>
      </c>
      <c r="D32" s="15" t="s">
        <v>326</v>
      </c>
      <c r="E32" s="12" t="n">
        <v>0.246</v>
      </c>
      <c r="F32" s="30" t="n">
        <v>966</v>
      </c>
      <c r="G32" s="30" t="n">
        <v>238</v>
      </c>
      <c r="H32" s="15" t="n">
        <v>1</v>
      </c>
      <c r="I32" s="15" t="n">
        <v>0</v>
      </c>
      <c r="J32" s="15" t="n">
        <v>0</v>
      </c>
      <c r="K32" s="12" t="n">
        <v>0.271</v>
      </c>
      <c r="L32" s="15" t="n">
        <v>0</v>
      </c>
      <c r="M32" s="11" t="s">
        <v>278</v>
      </c>
      <c r="N32" s="12" t="n">
        <v>0.09</v>
      </c>
    </row>
    <row r="33" customFormat="false" ht="15" hidden="false" customHeight="false" outlineLevel="0" collapsed="false">
      <c r="A33" s="6" t="s">
        <v>29</v>
      </c>
      <c r="B33" s="6" t="s">
        <v>327</v>
      </c>
      <c r="C33" s="6" t="s">
        <v>280</v>
      </c>
      <c r="D33" s="10" t="s">
        <v>328</v>
      </c>
      <c r="E33" s="7" t="n">
        <v>0.216</v>
      </c>
      <c r="F33" s="28" t="n">
        <v>498</v>
      </c>
      <c r="G33" s="28" t="n">
        <v>108</v>
      </c>
      <c r="H33" s="10" t="n">
        <v>1</v>
      </c>
      <c r="I33" s="10" t="n">
        <v>0</v>
      </c>
      <c r="J33" s="10" t="n">
        <v>0</v>
      </c>
      <c r="K33" s="7" t="n">
        <v>0.309</v>
      </c>
      <c r="L33" s="10" t="n">
        <v>0</v>
      </c>
      <c r="M33" s="6" t="s">
        <v>278</v>
      </c>
      <c r="N33" s="7" t="n">
        <v>0.2</v>
      </c>
    </row>
    <row r="34" customFormat="false" ht="15" hidden="false" customHeight="false" outlineLevel="0" collapsed="false">
      <c r="A34" s="11" t="s">
        <v>34</v>
      </c>
      <c r="B34" s="11" t="s">
        <v>308</v>
      </c>
      <c r="C34" s="11" t="s">
        <v>276</v>
      </c>
      <c r="D34" s="15" t="s">
        <v>329</v>
      </c>
      <c r="E34" s="12" t="n">
        <v>0.389</v>
      </c>
      <c r="F34" s="30" t="n">
        <v>6981</v>
      </c>
      <c r="G34" s="30" t="n">
        <v>2717</v>
      </c>
      <c r="H34" s="15" t="n">
        <v>6</v>
      </c>
      <c r="I34" s="15" t="n">
        <v>3</v>
      </c>
      <c r="J34" s="15" t="n">
        <v>0</v>
      </c>
      <c r="K34" s="12" t="n">
        <v>1.028</v>
      </c>
      <c r="L34" s="15" t="n">
        <v>56</v>
      </c>
      <c r="M34" s="11" t="s">
        <v>292</v>
      </c>
      <c r="N34" s="12" t="n">
        <v>0.14</v>
      </c>
    </row>
    <row r="35" customFormat="false" ht="15" hidden="false" customHeight="false" outlineLevel="0" collapsed="false">
      <c r="A35" s="6" t="s">
        <v>34</v>
      </c>
      <c r="B35" s="6" t="s">
        <v>330</v>
      </c>
      <c r="C35" s="6" t="s">
        <v>276</v>
      </c>
      <c r="D35" s="10" t="s">
        <v>329</v>
      </c>
      <c r="E35" s="7" t="n">
        <v>0.306</v>
      </c>
      <c r="F35" s="28" t="n">
        <v>6595</v>
      </c>
      <c r="G35" s="28" t="n">
        <v>2018</v>
      </c>
      <c r="H35" s="10" t="n">
        <v>3</v>
      </c>
      <c r="I35" s="10" t="n">
        <v>0</v>
      </c>
      <c r="J35" s="10" t="n">
        <v>1</v>
      </c>
      <c r="K35" s="7" t="n">
        <v>0.653</v>
      </c>
      <c r="L35" s="10" t="n">
        <v>42</v>
      </c>
      <c r="M35" s="6" t="s">
        <v>331</v>
      </c>
      <c r="N35" s="7" t="n">
        <v>0.13</v>
      </c>
    </row>
    <row r="36" customFormat="false" ht="15" hidden="false" customHeight="false" outlineLevel="0" collapsed="false">
      <c r="A36" s="11" t="s">
        <v>34</v>
      </c>
      <c r="B36" s="11" t="s">
        <v>332</v>
      </c>
      <c r="C36" s="11" t="s">
        <v>280</v>
      </c>
      <c r="D36" s="15" t="s">
        <v>333</v>
      </c>
      <c r="E36" s="12" t="n">
        <v>0.208</v>
      </c>
      <c r="F36" s="30" t="n">
        <v>320</v>
      </c>
      <c r="G36" s="30" t="n">
        <v>66</v>
      </c>
      <c r="H36" s="15" t="n">
        <v>0</v>
      </c>
      <c r="I36" s="15" t="n">
        <v>0</v>
      </c>
      <c r="J36" s="15" t="n">
        <v>0</v>
      </c>
      <c r="K36" s="12" t="n">
        <v>0</v>
      </c>
      <c r="L36" s="15" t="n">
        <v>0</v>
      </c>
      <c r="M36" s="11" t="s">
        <v>278</v>
      </c>
      <c r="N36" s="12" t="n">
        <v>0</v>
      </c>
    </row>
    <row r="37" customFormat="false" ht="15" hidden="false" customHeight="false" outlineLevel="0" collapsed="false">
      <c r="A37" s="6" t="s">
        <v>35</v>
      </c>
      <c r="B37" s="6" t="s">
        <v>308</v>
      </c>
      <c r="C37" s="6" t="s">
        <v>280</v>
      </c>
      <c r="D37" s="10" t="s">
        <v>281</v>
      </c>
      <c r="E37" s="7" t="n">
        <v>0.919</v>
      </c>
      <c r="F37" s="28" t="n">
        <v>1936</v>
      </c>
      <c r="G37" s="28" t="n">
        <v>1779</v>
      </c>
      <c r="H37" s="10" t="n">
        <v>0</v>
      </c>
      <c r="I37" s="10" t="n">
        <v>0</v>
      </c>
      <c r="J37" s="10" t="n">
        <v>0</v>
      </c>
      <c r="K37" s="7" t="n">
        <v>0</v>
      </c>
      <c r="L37" s="10" t="n">
        <v>0</v>
      </c>
      <c r="M37" s="6" t="s">
        <v>278</v>
      </c>
      <c r="N37" s="7" t="n">
        <v>0</v>
      </c>
    </row>
    <row r="38" customFormat="false" ht="15" hidden="false" customHeight="false" outlineLevel="0" collapsed="false">
      <c r="A38" s="11" t="s">
        <v>16</v>
      </c>
      <c r="B38" s="11" t="s">
        <v>286</v>
      </c>
      <c r="C38" s="11" t="s">
        <v>276</v>
      </c>
      <c r="D38" s="15" t="s">
        <v>277</v>
      </c>
      <c r="E38" s="12" t="n">
        <v>2.124</v>
      </c>
      <c r="F38" s="30" t="n">
        <v>9801</v>
      </c>
      <c r="G38" s="30" t="n">
        <v>20815</v>
      </c>
      <c r="H38" s="15" t="n">
        <v>75</v>
      </c>
      <c r="I38" s="15" t="n">
        <v>19</v>
      </c>
      <c r="J38" s="15" t="n">
        <v>11</v>
      </c>
      <c r="K38" s="12" t="n">
        <v>2.354</v>
      </c>
      <c r="L38" s="15" t="n">
        <v>23</v>
      </c>
      <c r="M38" s="11" t="s">
        <v>292</v>
      </c>
      <c r="N38" s="12" t="n">
        <v>0.08</v>
      </c>
    </row>
    <row r="39" customFormat="false" ht="15" hidden="false" customHeight="false" outlineLevel="0" collapsed="false">
      <c r="A39" s="6" t="s">
        <v>16</v>
      </c>
      <c r="B39" s="6" t="s">
        <v>290</v>
      </c>
      <c r="C39" s="6" t="s">
        <v>276</v>
      </c>
      <c r="D39" s="10" t="s">
        <v>277</v>
      </c>
      <c r="E39" s="7" t="n">
        <v>1.233</v>
      </c>
      <c r="F39" s="28" t="n">
        <v>15582</v>
      </c>
      <c r="G39" s="28" t="n">
        <v>19213</v>
      </c>
      <c r="H39" s="10" t="n">
        <v>61</v>
      </c>
      <c r="I39" s="10" t="n">
        <v>6</v>
      </c>
      <c r="J39" s="10" t="n">
        <v>11</v>
      </c>
      <c r="K39" s="7" t="n">
        <v>3.298</v>
      </c>
      <c r="L39" s="10" t="n">
        <v>51</v>
      </c>
      <c r="M39" s="6" t="s">
        <v>292</v>
      </c>
      <c r="N39" s="7" t="n">
        <v>0.08</v>
      </c>
    </row>
    <row r="40" customFormat="false" ht="15" hidden="false" customHeight="false" outlineLevel="0" collapsed="false">
      <c r="A40" s="11" t="s">
        <v>16</v>
      </c>
      <c r="B40" s="11" t="s">
        <v>334</v>
      </c>
      <c r="C40" s="11" t="s">
        <v>276</v>
      </c>
      <c r="D40" s="15" t="s">
        <v>335</v>
      </c>
      <c r="E40" s="12" t="n">
        <v>0.984</v>
      </c>
      <c r="F40" s="30" t="n">
        <v>10508</v>
      </c>
      <c r="G40" s="30" t="n">
        <v>10335</v>
      </c>
      <c r="H40" s="15" t="n">
        <v>42</v>
      </c>
      <c r="I40" s="15" t="n">
        <v>4</v>
      </c>
      <c r="J40" s="15" t="n">
        <v>5</v>
      </c>
      <c r="K40" s="12" t="n">
        <v>2.847</v>
      </c>
      <c r="L40" s="15" t="n">
        <v>56</v>
      </c>
      <c r="M40" s="11" t="s">
        <v>292</v>
      </c>
      <c r="N40" s="12" t="n">
        <v>0.11</v>
      </c>
    </row>
    <row r="41" customFormat="false" ht="15" hidden="false" customHeight="false" outlineLevel="0" collapsed="false">
      <c r="A41" s="6" t="s">
        <v>16</v>
      </c>
      <c r="B41" s="6" t="s">
        <v>336</v>
      </c>
      <c r="C41" s="6" t="s">
        <v>280</v>
      </c>
      <c r="D41" s="10" t="s">
        <v>337</v>
      </c>
      <c r="E41" s="7" t="n">
        <v>0.679</v>
      </c>
      <c r="F41" s="28" t="n">
        <v>4674</v>
      </c>
      <c r="G41" s="28" t="n">
        <v>3176</v>
      </c>
      <c r="H41" s="10" t="n">
        <v>8</v>
      </c>
      <c r="I41" s="10" t="n">
        <v>2</v>
      </c>
      <c r="J41" s="10" t="n">
        <v>1</v>
      </c>
      <c r="K41" s="7" t="n">
        <v>0.785</v>
      </c>
      <c r="L41" s="10" t="n">
        <v>5</v>
      </c>
      <c r="M41" s="6" t="s">
        <v>331</v>
      </c>
      <c r="N41" s="7" t="n">
        <v>0.06</v>
      </c>
    </row>
    <row r="42" customFormat="false" ht="15" hidden="false" customHeight="false" outlineLevel="0" collapsed="false">
      <c r="A42" s="11" t="s">
        <v>16</v>
      </c>
      <c r="B42" s="11" t="s">
        <v>338</v>
      </c>
      <c r="C42" s="11" t="s">
        <v>280</v>
      </c>
      <c r="D42" s="15" t="s">
        <v>337</v>
      </c>
      <c r="E42" s="12" t="n">
        <v>0.32</v>
      </c>
      <c r="F42" s="30" t="n">
        <v>2694</v>
      </c>
      <c r="G42" s="30" t="n">
        <v>863</v>
      </c>
      <c r="H42" s="15" t="n">
        <v>6</v>
      </c>
      <c r="I42" s="15" t="n">
        <v>0</v>
      </c>
      <c r="J42" s="15" t="n">
        <v>2</v>
      </c>
      <c r="K42" s="12" t="n">
        <v>1.248</v>
      </c>
      <c r="L42" s="15" t="n">
        <v>0</v>
      </c>
      <c r="M42" s="11" t="s">
        <v>331</v>
      </c>
      <c r="N42" s="12" t="n">
        <v>0.15</v>
      </c>
    </row>
    <row r="43" customFormat="false" ht="15" hidden="false" customHeight="false" outlineLevel="0" collapsed="false">
      <c r="A43" s="6" t="s">
        <v>20</v>
      </c>
      <c r="B43" s="6" t="s">
        <v>339</v>
      </c>
      <c r="C43" s="6" t="s">
        <v>276</v>
      </c>
      <c r="D43" s="10" t="s">
        <v>289</v>
      </c>
      <c r="E43" s="7" t="n">
        <v>0.611</v>
      </c>
      <c r="F43" s="28" t="n">
        <v>6331</v>
      </c>
      <c r="G43" s="28" t="n">
        <v>3868</v>
      </c>
      <c r="H43" s="10" t="n">
        <v>4</v>
      </c>
      <c r="I43" s="10" t="n">
        <v>0</v>
      </c>
      <c r="J43" s="10" t="n">
        <v>0</v>
      </c>
      <c r="K43" s="7" t="n">
        <v>0.436</v>
      </c>
      <c r="L43" s="10" t="n">
        <v>10</v>
      </c>
      <c r="M43" s="6" t="s">
        <v>331</v>
      </c>
      <c r="N43" s="7" t="n">
        <v>0.03</v>
      </c>
    </row>
    <row r="44" customFormat="false" ht="15" hidden="false" customHeight="false" outlineLevel="0" collapsed="false">
      <c r="A44" s="11" t="s">
        <v>20</v>
      </c>
      <c r="B44" s="11" t="s">
        <v>340</v>
      </c>
      <c r="C44" s="11" t="s">
        <v>276</v>
      </c>
      <c r="D44" s="15" t="s">
        <v>309</v>
      </c>
      <c r="E44" s="12" t="n">
        <v>0.531</v>
      </c>
      <c r="F44" s="30" t="n">
        <v>3569</v>
      </c>
      <c r="G44" s="30" t="n">
        <v>1894</v>
      </c>
      <c r="H44" s="15" t="n">
        <v>2</v>
      </c>
      <c r="I44" s="15" t="n">
        <v>0</v>
      </c>
      <c r="J44" s="15" t="n">
        <v>1</v>
      </c>
      <c r="K44" s="12" t="n">
        <v>0.251</v>
      </c>
      <c r="L44" s="15" t="n">
        <v>1</v>
      </c>
      <c r="M44" s="11" t="s">
        <v>278</v>
      </c>
      <c r="N44" s="12" t="n">
        <v>0.03</v>
      </c>
    </row>
    <row r="45" customFormat="false" ht="15" hidden="false" customHeight="false" outlineLevel="0" collapsed="false">
      <c r="A45" s="6" t="s">
        <v>20</v>
      </c>
      <c r="B45" s="6" t="s">
        <v>341</v>
      </c>
      <c r="C45" s="6" t="s">
        <v>276</v>
      </c>
      <c r="D45" s="10" t="s">
        <v>289</v>
      </c>
      <c r="E45" s="7" t="n">
        <v>0.251</v>
      </c>
      <c r="F45" s="28" t="n">
        <v>5919</v>
      </c>
      <c r="G45" s="28" t="n">
        <v>1483</v>
      </c>
      <c r="H45" s="10" t="n">
        <v>1</v>
      </c>
      <c r="I45" s="10" t="n">
        <v>0</v>
      </c>
      <c r="J45" s="10" t="n">
        <v>0</v>
      </c>
      <c r="K45" s="7" t="n">
        <v>0.266</v>
      </c>
      <c r="L45" s="10" t="n">
        <v>0</v>
      </c>
      <c r="M45" s="6" t="s">
        <v>278</v>
      </c>
      <c r="N45" s="7" t="n">
        <v>0.01</v>
      </c>
    </row>
    <row r="46" customFormat="false" ht="15" hidden="false" customHeight="false" outlineLevel="0" collapsed="false">
      <c r="A46" s="11" t="s">
        <v>20</v>
      </c>
      <c r="B46" s="11" t="s">
        <v>342</v>
      </c>
      <c r="C46" s="11" t="s">
        <v>276</v>
      </c>
      <c r="D46" s="15" t="s">
        <v>309</v>
      </c>
      <c r="E46" s="12" t="n">
        <v>0.256</v>
      </c>
      <c r="F46" s="30" t="n">
        <v>5668</v>
      </c>
      <c r="G46" s="30" t="n">
        <v>1453</v>
      </c>
      <c r="H46" s="15" t="n">
        <v>3</v>
      </c>
      <c r="I46" s="15" t="n">
        <v>0</v>
      </c>
      <c r="J46" s="15" t="n">
        <v>0</v>
      </c>
      <c r="K46" s="12" t="n">
        <v>0.78</v>
      </c>
      <c r="L46" s="15" t="n">
        <v>0</v>
      </c>
      <c r="M46" s="11" t="s">
        <v>331</v>
      </c>
      <c r="N46" s="12" t="n">
        <v>0.04</v>
      </c>
    </row>
    <row r="47" customFormat="false" ht="15" hidden="false" customHeight="false" outlineLevel="0" collapsed="false">
      <c r="A47" s="6" t="s">
        <v>20</v>
      </c>
      <c r="B47" s="6" t="s">
        <v>343</v>
      </c>
      <c r="C47" s="6" t="s">
        <v>276</v>
      </c>
      <c r="D47" s="10" t="s">
        <v>309</v>
      </c>
      <c r="E47" s="7" t="n">
        <v>0.275</v>
      </c>
      <c r="F47" s="28" t="n">
        <v>4892</v>
      </c>
      <c r="G47" s="28" t="n">
        <v>1344</v>
      </c>
      <c r="H47" s="10" t="n">
        <v>8</v>
      </c>
      <c r="I47" s="10" t="n">
        <v>2</v>
      </c>
      <c r="J47" s="10" t="n">
        <v>4</v>
      </c>
      <c r="K47" s="7" t="n">
        <v>1.941</v>
      </c>
      <c r="L47" s="10" t="n">
        <v>3</v>
      </c>
      <c r="M47" s="6" t="s">
        <v>292</v>
      </c>
      <c r="N47" s="7" t="n">
        <v>0.14</v>
      </c>
    </row>
    <row r="48" customFormat="false" ht="15" hidden="false" customHeight="false" outlineLevel="0" collapsed="false">
      <c r="A48" s="11" t="s">
        <v>20</v>
      </c>
      <c r="B48" s="11" t="s">
        <v>344</v>
      </c>
      <c r="C48" s="11" t="s">
        <v>280</v>
      </c>
      <c r="D48" s="15" t="s">
        <v>307</v>
      </c>
      <c r="E48" s="12" t="n">
        <v>0.451</v>
      </c>
      <c r="F48" s="30" t="n">
        <v>2481</v>
      </c>
      <c r="G48" s="30" t="n">
        <v>1119</v>
      </c>
      <c r="H48" s="15" t="n">
        <v>1</v>
      </c>
      <c r="I48" s="15" t="n">
        <v>0</v>
      </c>
      <c r="J48" s="15" t="n">
        <v>1</v>
      </c>
      <c r="K48" s="12" t="n">
        <v>0.148</v>
      </c>
      <c r="L48" s="15" t="n">
        <v>0</v>
      </c>
      <c r="M48" s="11" t="s">
        <v>278</v>
      </c>
      <c r="N48" s="12" t="n">
        <v>0.02</v>
      </c>
    </row>
    <row r="49" customFormat="false" ht="15" hidden="false" customHeight="false" outlineLevel="0" collapsed="false">
      <c r="A49" s="6" t="s">
        <v>20</v>
      </c>
      <c r="B49" s="6" t="s">
        <v>345</v>
      </c>
      <c r="C49" s="6" t="s">
        <v>280</v>
      </c>
      <c r="D49" s="10" t="s">
        <v>346</v>
      </c>
      <c r="E49" s="7" t="n">
        <v>0.45</v>
      </c>
      <c r="F49" s="28" t="n">
        <v>2077</v>
      </c>
      <c r="G49" s="28" t="n">
        <v>935</v>
      </c>
      <c r="H49" s="10" t="n">
        <v>1</v>
      </c>
      <c r="I49" s="10" t="n">
        <v>0</v>
      </c>
      <c r="J49" s="10" t="n">
        <v>0</v>
      </c>
      <c r="K49" s="7" t="n">
        <v>0.148</v>
      </c>
      <c r="L49" s="10" t="n">
        <v>0</v>
      </c>
      <c r="M49" s="6" t="s">
        <v>278</v>
      </c>
      <c r="N49" s="7" t="n">
        <v>0.02</v>
      </c>
    </row>
    <row r="50" customFormat="false" ht="15" hidden="false" customHeight="false" outlineLevel="0" collapsed="false">
      <c r="A50" s="11" t="s">
        <v>36</v>
      </c>
      <c r="B50" s="11" t="s">
        <v>282</v>
      </c>
      <c r="C50" s="11" t="s">
        <v>280</v>
      </c>
      <c r="D50" s="15" t="s">
        <v>347</v>
      </c>
      <c r="E50" s="12" t="n">
        <v>0.569</v>
      </c>
      <c r="F50" s="30" t="n">
        <v>782</v>
      </c>
      <c r="G50" s="30" t="n">
        <v>445</v>
      </c>
      <c r="H50" s="15" t="n">
        <v>0</v>
      </c>
      <c r="I50" s="15" t="n">
        <v>0</v>
      </c>
      <c r="J50" s="15" t="n">
        <v>0</v>
      </c>
      <c r="K50" s="12" t="n">
        <v>0</v>
      </c>
      <c r="L50" s="15" t="n">
        <v>0</v>
      </c>
      <c r="M50" s="11" t="s">
        <v>278</v>
      </c>
      <c r="N50" s="12" t="n">
        <v>0</v>
      </c>
    </row>
    <row r="51" customFormat="false" ht="15" hidden="false" customHeight="false" outlineLevel="0" collapsed="false">
      <c r="A51" s="6" t="s">
        <v>22</v>
      </c>
      <c r="B51" s="6" t="s">
        <v>348</v>
      </c>
      <c r="C51" s="6" t="s">
        <v>276</v>
      </c>
      <c r="D51" s="10" t="s">
        <v>349</v>
      </c>
      <c r="E51" s="7" t="n">
        <v>0.624</v>
      </c>
      <c r="F51" s="28" t="n">
        <v>5887</v>
      </c>
      <c r="G51" s="28" t="n">
        <v>3672</v>
      </c>
      <c r="H51" s="10" t="n">
        <v>8</v>
      </c>
      <c r="I51" s="10" t="n">
        <v>0</v>
      </c>
      <c r="J51" s="10" t="n">
        <v>2</v>
      </c>
      <c r="K51" s="7" t="n">
        <v>0.855</v>
      </c>
      <c r="L51" s="10" t="n">
        <v>2</v>
      </c>
      <c r="M51" s="6" t="s">
        <v>331</v>
      </c>
      <c r="N51" s="7" t="n">
        <v>0.05</v>
      </c>
    </row>
    <row r="52" customFormat="false" ht="15" hidden="false" customHeight="false" outlineLevel="0" collapsed="false">
      <c r="A52" s="11" t="s">
        <v>22</v>
      </c>
      <c r="B52" s="11" t="s">
        <v>350</v>
      </c>
      <c r="C52" s="11" t="s">
        <v>276</v>
      </c>
      <c r="D52" s="15" t="s">
        <v>349</v>
      </c>
      <c r="E52" s="12" t="n">
        <v>0.404</v>
      </c>
      <c r="F52" s="30" t="n">
        <v>8374</v>
      </c>
      <c r="G52" s="30" t="n">
        <v>3384</v>
      </c>
      <c r="H52" s="15" t="n">
        <v>7</v>
      </c>
      <c r="I52" s="15" t="n">
        <v>0</v>
      </c>
      <c r="J52" s="15" t="n">
        <v>4</v>
      </c>
      <c r="K52" s="12" t="n">
        <v>1.155</v>
      </c>
      <c r="L52" s="15" t="n">
        <v>14</v>
      </c>
      <c r="M52" s="11" t="s">
        <v>331</v>
      </c>
      <c r="N52" s="12" t="n">
        <v>0.06</v>
      </c>
    </row>
    <row r="53" customFormat="false" ht="15" hidden="false" customHeight="false" outlineLevel="0" collapsed="false">
      <c r="A53" s="6" t="s">
        <v>22</v>
      </c>
      <c r="B53" s="6" t="s">
        <v>351</v>
      </c>
      <c r="C53" s="6" t="s">
        <v>276</v>
      </c>
      <c r="D53" s="10" t="s">
        <v>352</v>
      </c>
      <c r="E53" s="7" t="n">
        <v>0.733</v>
      </c>
      <c r="F53" s="28" t="n">
        <v>2542</v>
      </c>
      <c r="G53" s="28" t="n">
        <v>1864</v>
      </c>
      <c r="H53" s="10" t="n">
        <v>3</v>
      </c>
      <c r="I53" s="10" t="n">
        <v>1</v>
      </c>
      <c r="J53" s="10" t="n">
        <v>2</v>
      </c>
      <c r="K53" s="7" t="n">
        <v>0.273</v>
      </c>
      <c r="L53" s="10" t="n">
        <v>0</v>
      </c>
      <c r="M53" s="6" t="s">
        <v>278</v>
      </c>
      <c r="N53" s="7" t="n">
        <v>0.03</v>
      </c>
    </row>
    <row r="54" customFormat="false" ht="15" hidden="false" customHeight="false" outlineLevel="0" collapsed="false">
      <c r="A54" s="11" t="s">
        <v>22</v>
      </c>
      <c r="B54" s="11" t="s">
        <v>308</v>
      </c>
      <c r="C54" s="11" t="s">
        <v>276</v>
      </c>
      <c r="D54" s="15" t="s">
        <v>352</v>
      </c>
      <c r="E54" s="12" t="n">
        <v>0.347</v>
      </c>
      <c r="F54" s="30" t="n">
        <v>4233</v>
      </c>
      <c r="G54" s="30" t="n">
        <v>1470</v>
      </c>
      <c r="H54" s="15" t="n">
        <v>2</v>
      </c>
      <c r="I54" s="15" t="n">
        <v>0</v>
      </c>
      <c r="J54" s="15" t="n">
        <v>0</v>
      </c>
      <c r="K54" s="12" t="n">
        <v>0.384</v>
      </c>
      <c r="L54" s="15" t="n">
        <v>10</v>
      </c>
      <c r="M54" s="11" t="s">
        <v>278</v>
      </c>
      <c r="N54" s="12" t="n">
        <v>0.06</v>
      </c>
    </row>
    <row r="55" customFormat="false" ht="15" hidden="false" customHeight="false" outlineLevel="0" collapsed="false">
      <c r="A55" s="6" t="s">
        <v>22</v>
      </c>
      <c r="B55" s="6" t="s">
        <v>353</v>
      </c>
      <c r="C55" s="6" t="s">
        <v>276</v>
      </c>
      <c r="D55" s="10" t="s">
        <v>352</v>
      </c>
      <c r="E55" s="7" t="n">
        <v>0.435</v>
      </c>
      <c r="F55" s="28" t="n">
        <v>2530</v>
      </c>
      <c r="G55" s="28" t="n">
        <v>1101</v>
      </c>
      <c r="H55" s="10" t="n">
        <v>2</v>
      </c>
      <c r="I55" s="10" t="n">
        <v>1</v>
      </c>
      <c r="J55" s="10" t="n">
        <v>0</v>
      </c>
      <c r="K55" s="7" t="n">
        <v>0.306</v>
      </c>
      <c r="L55" s="10" t="n">
        <v>0</v>
      </c>
      <c r="M55" s="6" t="s">
        <v>278</v>
      </c>
      <c r="N55" s="7" t="n">
        <v>0.04</v>
      </c>
    </row>
    <row r="56" customFormat="false" ht="15" hidden="false" customHeight="false" outlineLevel="0" collapsed="false">
      <c r="A56" s="11" t="s">
        <v>30</v>
      </c>
      <c r="B56" s="11" t="s">
        <v>354</v>
      </c>
      <c r="C56" s="11" t="s">
        <v>276</v>
      </c>
      <c r="D56" s="15" t="s">
        <v>355</v>
      </c>
      <c r="E56" s="12" t="n">
        <v>0.298</v>
      </c>
      <c r="F56" s="30" t="n">
        <v>5874</v>
      </c>
      <c r="G56" s="30" t="n">
        <v>1748</v>
      </c>
      <c r="H56" s="15" t="n">
        <v>2</v>
      </c>
      <c r="I56" s="15" t="n">
        <v>0</v>
      </c>
      <c r="J56" s="15" t="n">
        <v>0</v>
      </c>
      <c r="K56" s="12" t="n">
        <v>0.448</v>
      </c>
      <c r="L56" s="15" t="n">
        <v>9</v>
      </c>
      <c r="M56" s="11" t="s">
        <v>331</v>
      </c>
      <c r="N56" s="12" t="n">
        <v>0.05</v>
      </c>
    </row>
    <row r="57" customFormat="false" ht="15" hidden="false" customHeight="false" outlineLevel="0" collapsed="false">
      <c r="A57" s="6" t="s">
        <v>30</v>
      </c>
      <c r="B57" s="6" t="s">
        <v>356</v>
      </c>
      <c r="C57" s="6" t="s">
        <v>280</v>
      </c>
      <c r="D57" s="10" t="s">
        <v>357</v>
      </c>
      <c r="E57" s="7" t="n">
        <v>0.388</v>
      </c>
      <c r="F57" s="28" t="n">
        <v>1412</v>
      </c>
      <c r="G57" s="28" t="n">
        <v>549</v>
      </c>
      <c r="H57" s="10" t="n">
        <v>1</v>
      </c>
      <c r="I57" s="10" t="n">
        <v>0</v>
      </c>
      <c r="J57" s="10" t="n">
        <v>0</v>
      </c>
      <c r="K57" s="7" t="n">
        <v>0.172</v>
      </c>
      <c r="L57" s="10" t="n">
        <v>0</v>
      </c>
      <c r="M57" s="6" t="s">
        <v>278</v>
      </c>
      <c r="N57" s="7" t="n">
        <v>0.04</v>
      </c>
    </row>
    <row r="58" customFormat="false" ht="15" hidden="false" customHeight="false" outlineLevel="0" collapsed="false">
      <c r="A58" s="11" t="s">
        <v>30</v>
      </c>
      <c r="B58" s="11" t="s">
        <v>282</v>
      </c>
      <c r="C58" s="11" t="s">
        <v>280</v>
      </c>
      <c r="D58" s="15" t="s">
        <v>358</v>
      </c>
      <c r="E58" s="12" t="n">
        <v>0.428</v>
      </c>
      <c r="F58" s="30" t="n">
        <v>388</v>
      </c>
      <c r="G58" s="30" t="n">
        <v>166</v>
      </c>
      <c r="H58" s="15" t="n">
        <v>1</v>
      </c>
      <c r="I58" s="15" t="n">
        <v>0</v>
      </c>
      <c r="J58" s="15" t="n">
        <v>0</v>
      </c>
      <c r="K58" s="12" t="n">
        <v>0.156</v>
      </c>
      <c r="L58" s="15" t="n">
        <v>0</v>
      </c>
      <c r="M58" s="11" t="s">
        <v>278</v>
      </c>
      <c r="N58" s="12" t="n">
        <v>0.13</v>
      </c>
    </row>
    <row r="59" customFormat="false" ht="15" hidden="false" customHeight="false" outlineLevel="0" collapsed="false">
      <c r="A59" s="6" t="s">
        <v>14</v>
      </c>
      <c r="B59" s="6" t="s">
        <v>359</v>
      </c>
      <c r="C59" s="6" t="s">
        <v>276</v>
      </c>
      <c r="D59" s="10" t="s">
        <v>277</v>
      </c>
      <c r="E59" s="7" t="n">
        <v>2.434</v>
      </c>
      <c r="F59" s="28" t="n">
        <v>7318</v>
      </c>
      <c r="G59" s="28" t="n">
        <v>17810</v>
      </c>
      <c r="H59" s="10" t="n">
        <v>57</v>
      </c>
      <c r="I59" s="10" t="n">
        <v>4</v>
      </c>
      <c r="J59" s="10" t="n">
        <v>9</v>
      </c>
      <c r="K59" s="7" t="n">
        <v>1.561</v>
      </c>
      <c r="L59" s="10" t="n">
        <v>10</v>
      </c>
      <c r="M59" s="6" t="s">
        <v>292</v>
      </c>
      <c r="N59" s="7" t="n">
        <v>0.07</v>
      </c>
    </row>
    <row r="60" customFormat="false" ht="15" hidden="false" customHeight="false" outlineLevel="0" collapsed="false">
      <c r="A60" s="11" t="s">
        <v>14</v>
      </c>
      <c r="B60" s="11" t="s">
        <v>360</v>
      </c>
      <c r="C60" s="11" t="s">
        <v>276</v>
      </c>
      <c r="D60" s="15" t="s">
        <v>361</v>
      </c>
      <c r="E60" s="12" t="n">
        <v>1.821</v>
      </c>
      <c r="F60" s="30" t="n">
        <v>8197</v>
      </c>
      <c r="G60" s="30" t="n">
        <v>14930</v>
      </c>
      <c r="H60" s="15" t="n">
        <v>70</v>
      </c>
      <c r="I60" s="15" t="n">
        <v>11</v>
      </c>
      <c r="J60" s="15" t="n">
        <v>21</v>
      </c>
      <c r="K60" s="12" t="n">
        <v>2.562</v>
      </c>
      <c r="L60" s="15" t="n">
        <v>174</v>
      </c>
      <c r="M60" s="11" t="s">
        <v>292</v>
      </c>
      <c r="N60" s="12" t="n">
        <v>0.16</v>
      </c>
    </row>
    <row r="61" customFormat="false" ht="15" hidden="false" customHeight="false" outlineLevel="0" collapsed="false">
      <c r="A61" s="6" t="s">
        <v>14</v>
      </c>
      <c r="B61" s="6" t="s">
        <v>362</v>
      </c>
      <c r="C61" s="6" t="s">
        <v>276</v>
      </c>
      <c r="D61" s="10" t="s">
        <v>277</v>
      </c>
      <c r="E61" s="7" t="n">
        <v>0.575</v>
      </c>
      <c r="F61" s="28" t="n">
        <v>25652</v>
      </c>
      <c r="G61" s="28" t="n">
        <v>14762</v>
      </c>
      <c r="H61" s="10" t="n">
        <v>40</v>
      </c>
      <c r="I61" s="10" t="n">
        <v>1</v>
      </c>
      <c r="J61" s="10" t="n">
        <v>9</v>
      </c>
      <c r="K61" s="7" t="n">
        <v>4.634</v>
      </c>
      <c r="L61" s="10" t="n">
        <v>65</v>
      </c>
      <c r="M61" s="6" t="s">
        <v>292</v>
      </c>
      <c r="N61" s="7" t="n">
        <v>0.08</v>
      </c>
    </row>
    <row r="62" customFormat="false" ht="15" hidden="false" customHeight="false" outlineLevel="0" collapsed="false">
      <c r="A62" s="11" t="s">
        <v>14</v>
      </c>
      <c r="B62" s="11" t="s">
        <v>363</v>
      </c>
      <c r="C62" s="11" t="s">
        <v>276</v>
      </c>
      <c r="D62" s="15" t="s">
        <v>277</v>
      </c>
      <c r="E62" s="12" t="n">
        <v>1.775</v>
      </c>
      <c r="F62" s="30" t="n">
        <v>7736</v>
      </c>
      <c r="G62" s="30" t="n">
        <v>13731</v>
      </c>
      <c r="H62" s="15" t="n">
        <v>20</v>
      </c>
      <c r="I62" s="15" t="n">
        <v>2</v>
      </c>
      <c r="J62" s="15" t="n">
        <v>7</v>
      </c>
      <c r="K62" s="12" t="n">
        <v>0.751</v>
      </c>
      <c r="L62" s="15" t="n">
        <v>34</v>
      </c>
      <c r="M62" s="11" t="s">
        <v>331</v>
      </c>
      <c r="N62" s="12" t="n">
        <v>0.04</v>
      </c>
    </row>
    <row r="63" customFormat="false" ht="15" hidden="false" customHeight="false" outlineLevel="0" collapsed="false">
      <c r="A63" s="6" t="s">
        <v>14</v>
      </c>
      <c r="B63" s="6" t="s">
        <v>364</v>
      </c>
      <c r="C63" s="6" t="s">
        <v>276</v>
      </c>
      <c r="D63" s="10" t="s">
        <v>335</v>
      </c>
      <c r="E63" s="7" t="n">
        <v>0.653</v>
      </c>
      <c r="F63" s="28" t="n">
        <v>15885</v>
      </c>
      <c r="G63" s="28" t="n">
        <v>10377</v>
      </c>
      <c r="H63" s="10" t="n">
        <v>28</v>
      </c>
      <c r="I63" s="10" t="n">
        <v>3</v>
      </c>
      <c r="J63" s="10" t="n">
        <v>2</v>
      </c>
      <c r="K63" s="7" t="n">
        <v>2.858</v>
      </c>
      <c r="L63" s="10" t="n">
        <v>43</v>
      </c>
      <c r="M63" s="6" t="s">
        <v>292</v>
      </c>
      <c r="N63" s="7" t="n">
        <v>0.08</v>
      </c>
    </row>
    <row r="64" customFormat="false" ht="15" hidden="false" customHeight="false" outlineLevel="0" collapsed="false">
      <c r="A64" s="11" t="s">
        <v>14</v>
      </c>
      <c r="B64" s="11" t="s">
        <v>365</v>
      </c>
      <c r="C64" s="11" t="s">
        <v>276</v>
      </c>
      <c r="D64" s="15" t="s">
        <v>277</v>
      </c>
      <c r="E64" s="12" t="n">
        <v>0.912</v>
      </c>
      <c r="F64" s="30" t="n">
        <v>10973</v>
      </c>
      <c r="G64" s="30" t="n">
        <v>10003</v>
      </c>
      <c r="H64" s="15" t="n">
        <v>75</v>
      </c>
      <c r="I64" s="15" t="n">
        <v>5</v>
      </c>
      <c r="J64" s="15" t="n">
        <v>24</v>
      </c>
      <c r="K64" s="12" t="n">
        <v>5.485</v>
      </c>
      <c r="L64" s="15" t="n">
        <v>146</v>
      </c>
      <c r="M64" s="11" t="s">
        <v>292</v>
      </c>
      <c r="N64" s="12" t="n">
        <v>0.23</v>
      </c>
    </row>
    <row r="65" customFormat="false" ht="15" hidden="false" customHeight="false" outlineLevel="0" collapsed="false">
      <c r="A65" s="6" t="s">
        <v>14</v>
      </c>
      <c r="B65" s="6" t="s">
        <v>366</v>
      </c>
      <c r="C65" s="6" t="s">
        <v>276</v>
      </c>
      <c r="D65" s="10" t="s">
        <v>277</v>
      </c>
      <c r="E65" s="7" t="n">
        <v>0.585</v>
      </c>
      <c r="F65" s="28" t="n">
        <v>12441</v>
      </c>
      <c r="G65" s="28" t="n">
        <v>7281</v>
      </c>
      <c r="H65" s="10" t="n">
        <v>28</v>
      </c>
      <c r="I65" s="10" t="n">
        <v>4</v>
      </c>
      <c r="J65" s="10" t="n">
        <v>3</v>
      </c>
      <c r="K65" s="7" t="n">
        <v>3.19</v>
      </c>
      <c r="L65" s="10" t="n">
        <v>32</v>
      </c>
      <c r="M65" s="6" t="s">
        <v>292</v>
      </c>
      <c r="N65" s="7" t="n">
        <v>0.1</v>
      </c>
    </row>
    <row r="66" customFormat="false" ht="15" hidden="false" customHeight="false" outlineLevel="0" collapsed="false">
      <c r="A66" s="11" t="s">
        <v>14</v>
      </c>
      <c r="B66" s="11" t="s">
        <v>367</v>
      </c>
      <c r="C66" s="11" t="s">
        <v>276</v>
      </c>
      <c r="D66" s="15" t="s">
        <v>368</v>
      </c>
      <c r="E66" s="12" t="n">
        <v>0.978</v>
      </c>
      <c r="F66" s="30" t="n">
        <v>6827</v>
      </c>
      <c r="G66" s="30" t="n">
        <v>6678</v>
      </c>
      <c r="H66" s="15" t="n">
        <v>38</v>
      </c>
      <c r="I66" s="15" t="n">
        <v>7</v>
      </c>
      <c r="J66" s="15" t="n">
        <v>7</v>
      </c>
      <c r="K66" s="12" t="n">
        <v>2.59</v>
      </c>
      <c r="L66" s="15" t="n">
        <v>24</v>
      </c>
      <c r="M66" s="11" t="s">
        <v>292</v>
      </c>
      <c r="N66" s="12" t="n">
        <v>0.14</v>
      </c>
    </row>
    <row r="67" customFormat="false" ht="15" hidden="false" customHeight="false" outlineLevel="0" collapsed="false">
      <c r="A67" s="6" t="s">
        <v>14</v>
      </c>
      <c r="B67" s="6" t="s">
        <v>369</v>
      </c>
      <c r="C67" s="6" t="s">
        <v>276</v>
      </c>
      <c r="D67" s="10" t="s">
        <v>352</v>
      </c>
      <c r="E67" s="7" t="n">
        <v>1.861</v>
      </c>
      <c r="F67" s="28" t="n">
        <v>3510</v>
      </c>
      <c r="G67" s="28" t="n">
        <v>6533</v>
      </c>
      <c r="H67" s="10" t="n">
        <v>16</v>
      </c>
      <c r="I67" s="10" t="n">
        <v>3</v>
      </c>
      <c r="J67" s="10" t="n">
        <v>7</v>
      </c>
      <c r="K67" s="7" t="n">
        <v>0.573</v>
      </c>
      <c r="L67" s="10" t="n">
        <v>34</v>
      </c>
      <c r="M67" s="6" t="s">
        <v>331</v>
      </c>
      <c r="N67" s="7" t="n">
        <v>0.08</v>
      </c>
    </row>
    <row r="68" customFormat="false" ht="15" hidden="false" customHeight="false" outlineLevel="0" collapsed="false">
      <c r="A68" s="11" t="s">
        <v>14</v>
      </c>
      <c r="B68" s="11" t="s">
        <v>370</v>
      </c>
      <c r="C68" s="11" t="s">
        <v>276</v>
      </c>
      <c r="D68" s="15" t="s">
        <v>371</v>
      </c>
      <c r="E68" s="12" t="n">
        <v>1.1</v>
      </c>
      <c r="F68" s="30" t="n">
        <v>3098</v>
      </c>
      <c r="G68" s="30" t="n">
        <v>3407</v>
      </c>
      <c r="H68" s="15" t="n">
        <v>25</v>
      </c>
      <c r="I68" s="15" t="n">
        <v>3</v>
      </c>
      <c r="J68" s="15" t="n">
        <v>8</v>
      </c>
      <c r="K68" s="12" t="n">
        <v>1.515</v>
      </c>
      <c r="L68" s="15" t="n">
        <v>25</v>
      </c>
      <c r="M68" s="11" t="s">
        <v>292</v>
      </c>
      <c r="N68" s="12" t="n">
        <v>0.19</v>
      </c>
    </row>
    <row r="69" customFormat="false" ht="15" hidden="false" customHeight="false" outlineLevel="0" collapsed="false">
      <c r="A69" s="6" t="s">
        <v>14</v>
      </c>
      <c r="B69" s="6" t="s">
        <v>372</v>
      </c>
      <c r="C69" s="6" t="s">
        <v>276</v>
      </c>
      <c r="D69" s="10" t="s">
        <v>373</v>
      </c>
      <c r="E69" s="7" t="n">
        <v>0.874</v>
      </c>
      <c r="F69" s="28" t="n">
        <v>3666</v>
      </c>
      <c r="G69" s="28" t="n">
        <v>3203</v>
      </c>
      <c r="H69" s="10" t="n">
        <v>13</v>
      </c>
      <c r="I69" s="10" t="n">
        <v>1</v>
      </c>
      <c r="J69" s="10" t="n">
        <v>1</v>
      </c>
      <c r="K69" s="7" t="n">
        <v>0.992</v>
      </c>
      <c r="L69" s="10" t="n">
        <v>11</v>
      </c>
      <c r="M69" s="6" t="s">
        <v>331</v>
      </c>
      <c r="N69" s="7" t="n">
        <v>0.1</v>
      </c>
    </row>
    <row r="70" customFormat="false" ht="15" hidden="false" customHeight="false" outlineLevel="0" collapsed="false">
      <c r="A70" s="11" t="s">
        <v>14</v>
      </c>
      <c r="B70" s="11" t="s">
        <v>374</v>
      </c>
      <c r="C70" s="11" t="s">
        <v>276</v>
      </c>
      <c r="D70" s="15" t="s">
        <v>352</v>
      </c>
      <c r="E70" s="12" t="n">
        <v>0.357</v>
      </c>
      <c r="F70" s="30" t="n">
        <v>8892</v>
      </c>
      <c r="G70" s="30" t="n">
        <v>3175</v>
      </c>
      <c r="H70" s="15" t="n">
        <v>23</v>
      </c>
      <c r="I70" s="15" t="n">
        <v>4</v>
      </c>
      <c r="J70" s="15" t="n">
        <v>8</v>
      </c>
      <c r="K70" s="12" t="n">
        <v>4.294</v>
      </c>
      <c r="L70" s="15" t="n">
        <v>10</v>
      </c>
      <c r="M70" s="11" t="s">
        <v>292</v>
      </c>
      <c r="N70" s="12" t="n">
        <v>0.17</v>
      </c>
    </row>
    <row r="71" customFormat="false" ht="15" hidden="false" customHeight="false" outlineLevel="0" collapsed="false">
      <c r="A71" s="6" t="s">
        <v>14</v>
      </c>
      <c r="B71" s="6" t="s">
        <v>375</v>
      </c>
      <c r="C71" s="6" t="s">
        <v>276</v>
      </c>
      <c r="D71" s="10" t="s">
        <v>373</v>
      </c>
      <c r="E71" s="7" t="n">
        <v>0.471</v>
      </c>
      <c r="F71" s="28" t="n">
        <v>5029</v>
      </c>
      <c r="G71" s="28" t="n">
        <v>2368</v>
      </c>
      <c r="H71" s="10" t="n">
        <v>15</v>
      </c>
      <c r="I71" s="10" t="n">
        <v>1</v>
      </c>
      <c r="J71" s="10" t="n">
        <v>8</v>
      </c>
      <c r="K71" s="7" t="n">
        <v>2.123</v>
      </c>
      <c r="L71" s="10" t="n">
        <v>0</v>
      </c>
      <c r="M71" s="6" t="s">
        <v>292</v>
      </c>
      <c r="N71" s="7" t="n">
        <v>0.14</v>
      </c>
    </row>
    <row r="72" customFormat="false" ht="15" hidden="false" customHeight="false" outlineLevel="0" collapsed="false">
      <c r="A72" s="11" t="s">
        <v>14</v>
      </c>
      <c r="B72" s="11" t="s">
        <v>275</v>
      </c>
      <c r="C72" s="11" t="s">
        <v>276</v>
      </c>
      <c r="D72" s="15" t="s">
        <v>277</v>
      </c>
      <c r="E72" s="12" t="n">
        <v>0.344</v>
      </c>
      <c r="F72" s="30" t="n">
        <v>3085</v>
      </c>
      <c r="G72" s="30" t="n">
        <v>1061</v>
      </c>
      <c r="H72" s="15" t="n">
        <v>0</v>
      </c>
      <c r="I72" s="15" t="n">
        <v>0</v>
      </c>
      <c r="J72" s="15" t="n">
        <v>0</v>
      </c>
      <c r="K72" s="12" t="n">
        <v>0</v>
      </c>
      <c r="L72" s="15" t="n">
        <v>0</v>
      </c>
      <c r="M72" s="11" t="s">
        <v>278</v>
      </c>
      <c r="N72" s="12" t="n">
        <v>0</v>
      </c>
    </row>
    <row r="73" customFormat="false" ht="15" hidden="false" customHeight="false" outlineLevel="0" collapsed="false">
      <c r="A73" s="6" t="s">
        <v>14</v>
      </c>
      <c r="B73" s="6" t="s">
        <v>376</v>
      </c>
      <c r="C73" s="6" t="s">
        <v>280</v>
      </c>
      <c r="D73" s="10" t="s">
        <v>377</v>
      </c>
      <c r="E73" s="7" t="n">
        <v>0.837</v>
      </c>
      <c r="F73" s="28" t="n">
        <v>9754</v>
      </c>
      <c r="G73" s="28" t="n">
        <v>8161</v>
      </c>
      <c r="H73" s="10" t="n">
        <v>54</v>
      </c>
      <c r="I73" s="10" t="n">
        <v>5</v>
      </c>
      <c r="J73" s="10" t="n">
        <v>20</v>
      </c>
      <c r="K73" s="7" t="n">
        <v>4.303</v>
      </c>
      <c r="L73" s="10" t="n">
        <v>58</v>
      </c>
      <c r="M73" s="6" t="s">
        <v>292</v>
      </c>
      <c r="N73" s="7" t="n">
        <v>0.18</v>
      </c>
    </row>
    <row r="74" customFormat="false" ht="15" hidden="false" customHeight="false" outlineLevel="0" collapsed="false">
      <c r="A74" s="11" t="s">
        <v>14</v>
      </c>
      <c r="B74" s="11" t="s">
        <v>378</v>
      </c>
      <c r="C74" s="11" t="s">
        <v>280</v>
      </c>
      <c r="D74" s="15" t="s">
        <v>377</v>
      </c>
      <c r="E74" s="12" t="n">
        <v>1.026</v>
      </c>
      <c r="F74" s="30" t="n">
        <v>5653</v>
      </c>
      <c r="G74" s="30" t="n">
        <v>5801</v>
      </c>
      <c r="H74" s="15" t="n">
        <v>37</v>
      </c>
      <c r="I74" s="15" t="n">
        <v>6</v>
      </c>
      <c r="J74" s="15" t="n">
        <v>16</v>
      </c>
      <c r="K74" s="12" t="n">
        <v>2.404</v>
      </c>
      <c r="L74" s="15" t="n">
        <v>111</v>
      </c>
      <c r="M74" s="11" t="s">
        <v>292</v>
      </c>
      <c r="N74" s="12" t="n">
        <v>0.23</v>
      </c>
    </row>
    <row r="75" customFormat="false" ht="15" hidden="false" customHeight="false" outlineLevel="0" collapsed="false">
      <c r="A75" s="6" t="s">
        <v>14</v>
      </c>
      <c r="B75" s="6" t="s">
        <v>379</v>
      </c>
      <c r="C75" s="6" t="s">
        <v>280</v>
      </c>
      <c r="D75" s="10" t="s">
        <v>377</v>
      </c>
      <c r="E75" s="7" t="n">
        <v>1.795</v>
      </c>
      <c r="F75" s="28" t="n">
        <v>3180</v>
      </c>
      <c r="G75" s="28" t="n">
        <v>5708</v>
      </c>
      <c r="H75" s="10" t="n">
        <v>10</v>
      </c>
      <c r="I75" s="10" t="n">
        <v>2</v>
      </c>
      <c r="J75" s="10" t="n">
        <v>0</v>
      </c>
      <c r="K75" s="7" t="n">
        <v>0.371</v>
      </c>
      <c r="L75" s="10" t="n">
        <v>93</v>
      </c>
      <c r="M75" s="6" t="s">
        <v>292</v>
      </c>
      <c r="N75" s="7" t="n">
        <v>0.11</v>
      </c>
    </row>
    <row r="76" customFormat="false" ht="15" hidden="false" customHeight="false" outlineLevel="0" collapsed="false">
      <c r="A76" s="11" t="s">
        <v>14</v>
      </c>
      <c r="B76" s="11" t="s">
        <v>343</v>
      </c>
      <c r="C76" s="11" t="s">
        <v>280</v>
      </c>
      <c r="D76" s="15" t="s">
        <v>380</v>
      </c>
      <c r="E76" s="12" t="n">
        <v>0.38</v>
      </c>
      <c r="F76" s="30" t="n">
        <v>14971</v>
      </c>
      <c r="G76" s="30" t="n">
        <v>5690</v>
      </c>
      <c r="H76" s="15" t="n">
        <v>13</v>
      </c>
      <c r="I76" s="15" t="n">
        <v>1</v>
      </c>
      <c r="J76" s="15" t="n">
        <v>5</v>
      </c>
      <c r="K76" s="12" t="n">
        <v>2.28</v>
      </c>
      <c r="L76" s="15" t="n">
        <v>102</v>
      </c>
      <c r="M76" s="11" t="s">
        <v>292</v>
      </c>
      <c r="N76" s="12" t="n">
        <v>0.13</v>
      </c>
    </row>
    <row r="77" customFormat="false" ht="15" hidden="false" customHeight="false" outlineLevel="0" collapsed="false">
      <c r="A77" s="6" t="s">
        <v>14</v>
      </c>
      <c r="B77" s="6" t="s">
        <v>381</v>
      </c>
      <c r="C77" s="6" t="s">
        <v>280</v>
      </c>
      <c r="D77" s="10" t="s">
        <v>326</v>
      </c>
      <c r="E77" s="7" t="n">
        <v>0.851</v>
      </c>
      <c r="F77" s="28" t="n">
        <v>3392</v>
      </c>
      <c r="G77" s="28" t="n">
        <v>2886</v>
      </c>
      <c r="H77" s="10" t="n">
        <v>7</v>
      </c>
      <c r="I77" s="10" t="n">
        <v>2</v>
      </c>
      <c r="J77" s="10" t="n">
        <v>4</v>
      </c>
      <c r="K77" s="7" t="n">
        <v>0.549</v>
      </c>
      <c r="L77" s="10" t="n">
        <v>11</v>
      </c>
      <c r="M77" s="6" t="s">
        <v>331</v>
      </c>
      <c r="N77" s="7" t="n">
        <v>0.07</v>
      </c>
    </row>
    <row r="78" customFormat="false" ht="15" hidden="false" customHeight="false" outlineLevel="0" collapsed="false">
      <c r="A78" s="11" t="s">
        <v>14</v>
      </c>
      <c r="B78" s="11" t="s">
        <v>308</v>
      </c>
      <c r="C78" s="11" t="s">
        <v>280</v>
      </c>
      <c r="D78" s="15" t="s">
        <v>382</v>
      </c>
      <c r="E78" s="12" t="n">
        <v>0.785</v>
      </c>
      <c r="F78" s="30" t="n">
        <v>1336</v>
      </c>
      <c r="G78" s="30" t="n">
        <v>1049</v>
      </c>
      <c r="H78" s="15" t="n">
        <v>1</v>
      </c>
      <c r="I78" s="15" t="n">
        <v>0</v>
      </c>
      <c r="J78" s="15" t="n">
        <v>1</v>
      </c>
      <c r="K78" s="12" t="n">
        <v>0.085</v>
      </c>
      <c r="L78" s="15" t="n">
        <v>0</v>
      </c>
      <c r="M78" s="11" t="s">
        <v>278</v>
      </c>
      <c r="N78" s="12" t="n">
        <v>0.02</v>
      </c>
    </row>
    <row r="79" customFormat="false" ht="15" hidden="false" customHeight="false" outlineLevel="0" collapsed="false">
      <c r="A79" s="6" t="s">
        <v>14</v>
      </c>
      <c r="B79" s="6" t="s">
        <v>383</v>
      </c>
      <c r="C79" s="6" t="s">
        <v>280</v>
      </c>
      <c r="D79" s="10" t="s">
        <v>285</v>
      </c>
      <c r="E79" s="7" t="n">
        <v>0.246</v>
      </c>
      <c r="F79" s="28" t="n">
        <v>216</v>
      </c>
      <c r="G79" s="28" t="n">
        <v>53</v>
      </c>
      <c r="H79" s="10" t="n">
        <v>0</v>
      </c>
      <c r="I79" s="10" t="n">
        <v>0</v>
      </c>
      <c r="J79" s="10" t="n">
        <v>0</v>
      </c>
      <c r="K79" s="7" t="n">
        <v>0</v>
      </c>
      <c r="L79" s="10" t="n">
        <v>0</v>
      </c>
      <c r="M79" s="6" t="s">
        <v>278</v>
      </c>
      <c r="N79" s="7" t="n">
        <v>0</v>
      </c>
    </row>
    <row r="80" customFormat="false" ht="15" hidden="false" customHeight="false" outlineLevel="0" collapsed="false">
      <c r="A80" s="11" t="s">
        <v>14</v>
      </c>
      <c r="B80" s="11" t="s">
        <v>384</v>
      </c>
      <c r="C80" s="11" t="s">
        <v>280</v>
      </c>
      <c r="D80" s="15" t="s">
        <v>385</v>
      </c>
      <c r="E80" s="12" t="n">
        <v>0.594</v>
      </c>
      <c r="F80" s="30" t="n">
        <v>0</v>
      </c>
      <c r="G80" s="30" t="n">
        <v>0</v>
      </c>
      <c r="H80" s="15" t="n">
        <v>2</v>
      </c>
      <c r="I80" s="15" t="n">
        <v>0</v>
      </c>
      <c r="J80" s="15" t="n">
        <v>1</v>
      </c>
      <c r="K80" s="12" t="n">
        <v>0.224</v>
      </c>
      <c r="L80" s="15" t="n">
        <v>0</v>
      </c>
      <c r="M80" s="11" t="s">
        <v>278</v>
      </c>
      <c r="N80" s="12" t="n">
        <v>0</v>
      </c>
    </row>
    <row r="81" customFormat="false" ht="15" hidden="false" customHeight="false" outlineLevel="0" collapsed="false">
      <c r="A81" s="6" t="s">
        <v>19</v>
      </c>
      <c r="B81" s="6" t="s">
        <v>386</v>
      </c>
      <c r="C81" s="6" t="s">
        <v>276</v>
      </c>
      <c r="D81" s="10" t="s">
        <v>329</v>
      </c>
      <c r="E81" s="7" t="n">
        <v>0.767</v>
      </c>
      <c r="F81" s="28" t="n">
        <v>2478</v>
      </c>
      <c r="G81" s="28" t="n">
        <v>1902</v>
      </c>
      <c r="H81" s="10" t="n">
        <v>3</v>
      </c>
      <c r="I81" s="10" t="n">
        <v>0</v>
      </c>
      <c r="J81" s="10" t="n">
        <v>1</v>
      </c>
      <c r="K81" s="7" t="n">
        <v>0.261</v>
      </c>
      <c r="L81" s="10" t="n">
        <v>0</v>
      </c>
      <c r="M81" s="6" t="s">
        <v>278</v>
      </c>
      <c r="N81" s="7" t="n">
        <v>0.03</v>
      </c>
    </row>
    <row r="82" customFormat="false" ht="15" hidden="false" customHeight="false" outlineLevel="0" collapsed="false">
      <c r="A82" s="11" t="s">
        <v>19</v>
      </c>
      <c r="B82" s="11" t="s">
        <v>290</v>
      </c>
      <c r="C82" s="11" t="s">
        <v>276</v>
      </c>
      <c r="D82" s="15" t="s">
        <v>329</v>
      </c>
      <c r="E82" s="12" t="n">
        <v>0.527</v>
      </c>
      <c r="F82" s="30" t="n">
        <v>3347</v>
      </c>
      <c r="G82" s="30" t="n">
        <v>1763</v>
      </c>
      <c r="H82" s="15" t="n">
        <v>6</v>
      </c>
      <c r="I82" s="15" t="n">
        <v>0</v>
      </c>
      <c r="J82" s="15" t="n">
        <v>0</v>
      </c>
      <c r="K82" s="12" t="n">
        <v>0.759</v>
      </c>
      <c r="L82" s="15" t="n">
        <v>1</v>
      </c>
      <c r="M82" s="11" t="s">
        <v>331</v>
      </c>
      <c r="N82" s="12" t="n">
        <v>0.08</v>
      </c>
    </row>
    <row r="83" customFormat="false" ht="15" hidden="false" customHeight="false" outlineLevel="0" collapsed="false">
      <c r="A83" s="6" t="s">
        <v>19</v>
      </c>
      <c r="B83" s="6" t="s">
        <v>387</v>
      </c>
      <c r="C83" s="6" t="s">
        <v>280</v>
      </c>
      <c r="D83" s="10" t="s">
        <v>283</v>
      </c>
      <c r="E83" s="7" t="n">
        <v>0.747</v>
      </c>
      <c r="F83" s="28" t="n">
        <v>2713</v>
      </c>
      <c r="G83" s="28" t="n">
        <v>2025</v>
      </c>
      <c r="H83" s="10" t="n">
        <v>2</v>
      </c>
      <c r="I83" s="10" t="n">
        <v>1</v>
      </c>
      <c r="J83" s="10" t="n">
        <v>0</v>
      </c>
      <c r="K83" s="7" t="n">
        <v>0.179</v>
      </c>
      <c r="L83" s="10" t="n">
        <v>0</v>
      </c>
      <c r="M83" s="6" t="s">
        <v>278</v>
      </c>
      <c r="N83" s="7" t="n">
        <v>0.02</v>
      </c>
    </row>
    <row r="84" customFormat="false" ht="15" hidden="false" customHeight="false" outlineLevel="0" collapsed="false">
      <c r="A84" s="11" t="s">
        <v>19</v>
      </c>
      <c r="B84" s="11" t="s">
        <v>388</v>
      </c>
      <c r="C84" s="11" t="s">
        <v>280</v>
      </c>
      <c r="D84" s="15" t="s">
        <v>283</v>
      </c>
      <c r="E84" s="12" t="n">
        <v>0.754</v>
      </c>
      <c r="F84" s="30" t="n">
        <v>1049</v>
      </c>
      <c r="G84" s="30" t="n">
        <v>791</v>
      </c>
      <c r="H84" s="15" t="n">
        <v>2</v>
      </c>
      <c r="I84" s="15" t="n">
        <v>0</v>
      </c>
      <c r="J84" s="15" t="n">
        <v>0</v>
      </c>
      <c r="K84" s="12" t="n">
        <v>0.177</v>
      </c>
      <c r="L84" s="15" t="n">
        <v>0</v>
      </c>
      <c r="M84" s="11" t="s">
        <v>278</v>
      </c>
      <c r="N84" s="12" t="n">
        <v>0.05</v>
      </c>
    </row>
    <row r="85" customFormat="false" ht="15" hidden="false" customHeight="false" outlineLevel="0" collapsed="false">
      <c r="A85" s="6" t="s">
        <v>19</v>
      </c>
      <c r="B85" s="6" t="s">
        <v>389</v>
      </c>
      <c r="C85" s="6" t="s">
        <v>280</v>
      </c>
      <c r="D85" s="10" t="s">
        <v>283</v>
      </c>
      <c r="E85" s="7" t="n">
        <v>0.376</v>
      </c>
      <c r="F85" s="28" t="n">
        <v>904</v>
      </c>
      <c r="G85" s="28" t="n">
        <v>340</v>
      </c>
      <c r="H85" s="10" t="n">
        <v>3</v>
      </c>
      <c r="I85" s="10" t="n">
        <v>0</v>
      </c>
      <c r="J85" s="10" t="n">
        <v>2</v>
      </c>
      <c r="K85" s="7" t="n">
        <v>0.532</v>
      </c>
      <c r="L85" s="10" t="n">
        <v>0</v>
      </c>
      <c r="M85" s="6" t="s">
        <v>278</v>
      </c>
      <c r="N85" s="7" t="n">
        <v>0.19</v>
      </c>
    </row>
    <row r="86" customFormat="false" ht="15" hidden="false" customHeight="false" outlineLevel="0" collapsed="false">
      <c r="A86" s="11" t="s">
        <v>19</v>
      </c>
      <c r="B86" s="11" t="s">
        <v>340</v>
      </c>
      <c r="C86" s="11" t="s">
        <v>280</v>
      </c>
      <c r="D86" s="15" t="s">
        <v>316</v>
      </c>
      <c r="E86" s="12" t="n">
        <v>0.397</v>
      </c>
      <c r="F86" s="30" t="n">
        <v>783</v>
      </c>
      <c r="G86" s="30" t="n">
        <v>311</v>
      </c>
      <c r="H86" s="15" t="n">
        <v>0</v>
      </c>
      <c r="I86" s="15" t="n">
        <v>0</v>
      </c>
      <c r="J86" s="15" t="n">
        <v>0</v>
      </c>
      <c r="K86" s="12" t="n">
        <v>0</v>
      </c>
      <c r="L86" s="15" t="n">
        <v>0</v>
      </c>
      <c r="M86" s="11" t="s">
        <v>278</v>
      </c>
      <c r="N86" s="12" t="n">
        <v>0</v>
      </c>
    </row>
    <row r="87" customFormat="false" ht="15" hidden="false" customHeight="false" outlineLevel="0" collapsed="false">
      <c r="A87" s="6" t="s">
        <v>31</v>
      </c>
      <c r="B87" s="6" t="s">
        <v>308</v>
      </c>
      <c r="C87" s="6" t="s">
        <v>276</v>
      </c>
      <c r="D87" s="10" t="s">
        <v>390</v>
      </c>
      <c r="E87" s="7" t="n">
        <v>1.049</v>
      </c>
      <c r="F87" s="28" t="n">
        <v>4153</v>
      </c>
      <c r="G87" s="28" t="n">
        <v>4356</v>
      </c>
      <c r="H87" s="10" t="n">
        <v>5</v>
      </c>
      <c r="I87" s="10" t="n">
        <v>0</v>
      </c>
      <c r="J87" s="10" t="n">
        <v>1</v>
      </c>
      <c r="K87" s="7" t="n">
        <v>0.318</v>
      </c>
      <c r="L87" s="10" t="n">
        <v>23</v>
      </c>
      <c r="M87" s="6" t="s">
        <v>331</v>
      </c>
      <c r="N87" s="7" t="n">
        <v>0.05</v>
      </c>
    </row>
    <row r="88" customFormat="false" ht="15" hidden="false" customHeight="false" outlineLevel="0" collapsed="false">
      <c r="A88" s="11" t="s">
        <v>17</v>
      </c>
      <c r="B88" s="11" t="s">
        <v>391</v>
      </c>
      <c r="C88" s="11" t="s">
        <v>276</v>
      </c>
      <c r="D88" s="15" t="s">
        <v>349</v>
      </c>
      <c r="E88" s="12" t="n">
        <v>1.379</v>
      </c>
      <c r="F88" s="30" t="n">
        <v>3517</v>
      </c>
      <c r="G88" s="30" t="n">
        <v>4850</v>
      </c>
      <c r="H88" s="15" t="n">
        <v>12</v>
      </c>
      <c r="I88" s="15" t="n">
        <v>1</v>
      </c>
      <c r="J88" s="15" t="n">
        <v>7</v>
      </c>
      <c r="K88" s="12" t="n">
        <v>0.58</v>
      </c>
      <c r="L88" s="15" t="n">
        <v>13</v>
      </c>
      <c r="M88" s="11" t="s">
        <v>331</v>
      </c>
      <c r="N88" s="12" t="n">
        <v>0.07</v>
      </c>
    </row>
    <row r="89" customFormat="false" ht="15" hidden="false" customHeight="false" outlineLevel="0" collapsed="false">
      <c r="A89" s="6" t="s">
        <v>17</v>
      </c>
      <c r="B89" s="6" t="s">
        <v>392</v>
      </c>
      <c r="C89" s="6" t="s">
        <v>276</v>
      </c>
      <c r="D89" s="10" t="s">
        <v>393</v>
      </c>
      <c r="E89" s="7" t="n">
        <v>0.746</v>
      </c>
      <c r="F89" s="28" t="n">
        <v>6455</v>
      </c>
      <c r="G89" s="28" t="n">
        <v>4819</v>
      </c>
      <c r="H89" s="10" t="n">
        <v>14</v>
      </c>
      <c r="I89" s="10" t="n">
        <v>3</v>
      </c>
      <c r="J89" s="10" t="n">
        <v>2</v>
      </c>
      <c r="K89" s="7" t="n">
        <v>1.25</v>
      </c>
      <c r="L89" s="10" t="n">
        <v>59</v>
      </c>
      <c r="M89" s="6" t="s">
        <v>292</v>
      </c>
      <c r="N89" s="7" t="n">
        <v>0.12</v>
      </c>
    </row>
    <row r="90" customFormat="false" ht="15" hidden="false" customHeight="false" outlineLevel="0" collapsed="false">
      <c r="A90" s="11" t="s">
        <v>17</v>
      </c>
      <c r="B90" s="11" t="s">
        <v>394</v>
      </c>
      <c r="C90" s="11" t="s">
        <v>276</v>
      </c>
      <c r="D90" s="15" t="s">
        <v>395</v>
      </c>
      <c r="E90" s="12" t="n">
        <v>1.181</v>
      </c>
      <c r="F90" s="30" t="n">
        <v>3448</v>
      </c>
      <c r="G90" s="30" t="n">
        <v>4073</v>
      </c>
      <c r="H90" s="15" t="n">
        <v>16</v>
      </c>
      <c r="I90" s="15" t="n">
        <v>1</v>
      </c>
      <c r="J90" s="15" t="n">
        <v>11</v>
      </c>
      <c r="K90" s="12" t="n">
        <v>0.903</v>
      </c>
      <c r="L90" s="15" t="n">
        <v>15</v>
      </c>
      <c r="M90" s="11" t="s">
        <v>331</v>
      </c>
      <c r="N90" s="12" t="n">
        <v>0.1</v>
      </c>
    </row>
    <row r="91" customFormat="false" ht="15" hidden="false" customHeight="false" outlineLevel="0" collapsed="false">
      <c r="A91" s="6" t="s">
        <v>17</v>
      </c>
      <c r="B91" s="6" t="s">
        <v>396</v>
      </c>
      <c r="C91" s="6" t="s">
        <v>276</v>
      </c>
      <c r="D91" s="10" t="s">
        <v>397</v>
      </c>
      <c r="E91" s="7" t="n">
        <v>0.73</v>
      </c>
      <c r="F91" s="28" t="n">
        <v>5353</v>
      </c>
      <c r="G91" s="28" t="n">
        <v>3906</v>
      </c>
      <c r="H91" s="10" t="n">
        <v>10</v>
      </c>
      <c r="I91" s="10" t="n">
        <v>0</v>
      </c>
      <c r="J91" s="10" t="n">
        <v>6</v>
      </c>
      <c r="K91" s="7" t="n">
        <v>0.914</v>
      </c>
      <c r="L91" s="10" t="n">
        <v>19</v>
      </c>
      <c r="M91" s="6" t="s">
        <v>331</v>
      </c>
      <c r="N91" s="7" t="n">
        <v>0.08</v>
      </c>
    </row>
    <row r="92" customFormat="false" ht="15" hidden="false" customHeight="false" outlineLevel="0" collapsed="false">
      <c r="A92" s="11" t="s">
        <v>17</v>
      </c>
      <c r="B92" s="11" t="s">
        <v>398</v>
      </c>
      <c r="C92" s="11" t="s">
        <v>276</v>
      </c>
      <c r="D92" s="15" t="s">
        <v>399</v>
      </c>
      <c r="E92" s="12" t="n">
        <v>0.452</v>
      </c>
      <c r="F92" s="30" t="n">
        <v>5829</v>
      </c>
      <c r="G92" s="30" t="n">
        <v>2634</v>
      </c>
      <c r="H92" s="15" t="n">
        <v>19</v>
      </c>
      <c r="I92" s="15" t="n">
        <v>3</v>
      </c>
      <c r="J92" s="15" t="n">
        <v>13</v>
      </c>
      <c r="K92" s="12" t="n">
        <v>2.804</v>
      </c>
      <c r="L92" s="15" t="n">
        <v>14</v>
      </c>
      <c r="M92" s="11" t="s">
        <v>292</v>
      </c>
      <c r="N92" s="12" t="n">
        <v>0.18</v>
      </c>
    </row>
    <row r="93" customFormat="false" ht="15" hidden="false" customHeight="false" outlineLevel="0" collapsed="false">
      <c r="A93" s="6" t="s">
        <v>17</v>
      </c>
      <c r="B93" s="6" t="s">
        <v>400</v>
      </c>
      <c r="C93" s="6" t="s">
        <v>276</v>
      </c>
      <c r="D93" s="10" t="s">
        <v>349</v>
      </c>
      <c r="E93" s="7" t="n">
        <v>0.579</v>
      </c>
      <c r="F93" s="28" t="n">
        <v>3517</v>
      </c>
      <c r="G93" s="28" t="n">
        <v>2035</v>
      </c>
      <c r="H93" s="10" t="n">
        <v>7</v>
      </c>
      <c r="I93" s="10" t="n">
        <v>1</v>
      </c>
      <c r="J93" s="10" t="n">
        <v>3</v>
      </c>
      <c r="K93" s="7" t="n">
        <v>0.806</v>
      </c>
      <c r="L93" s="10" t="n">
        <v>0</v>
      </c>
      <c r="M93" s="6" t="s">
        <v>331</v>
      </c>
      <c r="N93" s="7" t="n">
        <v>0.07</v>
      </c>
    </row>
    <row r="94" customFormat="false" ht="15" hidden="false" customHeight="false" outlineLevel="0" collapsed="false">
      <c r="A94" s="11" t="s">
        <v>17</v>
      </c>
      <c r="B94" s="11" t="s">
        <v>401</v>
      </c>
      <c r="C94" s="11" t="s">
        <v>276</v>
      </c>
      <c r="D94" s="15" t="s">
        <v>289</v>
      </c>
      <c r="E94" s="12" t="n">
        <v>0.292</v>
      </c>
      <c r="F94" s="30" t="n">
        <v>6455</v>
      </c>
      <c r="G94" s="30" t="n">
        <v>1886</v>
      </c>
      <c r="H94" s="15" t="n">
        <v>4</v>
      </c>
      <c r="I94" s="15" t="n">
        <v>0</v>
      </c>
      <c r="J94" s="15" t="n">
        <v>1</v>
      </c>
      <c r="K94" s="12" t="n">
        <v>0.913</v>
      </c>
      <c r="L94" s="15" t="n">
        <v>44</v>
      </c>
      <c r="M94" s="11" t="s">
        <v>292</v>
      </c>
      <c r="N94" s="12" t="n">
        <v>0.16</v>
      </c>
    </row>
    <row r="95" customFormat="false" ht="15" hidden="false" customHeight="false" outlineLevel="0" collapsed="false">
      <c r="A95" s="6" t="s">
        <v>25</v>
      </c>
      <c r="B95" s="6" t="s">
        <v>381</v>
      </c>
      <c r="C95" s="6" t="s">
        <v>280</v>
      </c>
      <c r="D95" s="10" t="s">
        <v>326</v>
      </c>
      <c r="E95" s="7" t="n">
        <v>1.027</v>
      </c>
      <c r="F95" s="28" t="n">
        <v>1269</v>
      </c>
      <c r="G95" s="28" t="n">
        <v>1304</v>
      </c>
      <c r="H95" s="10" t="n">
        <v>4</v>
      </c>
      <c r="I95" s="10" t="n">
        <v>0</v>
      </c>
      <c r="J95" s="10" t="n">
        <v>0</v>
      </c>
      <c r="K95" s="7" t="n">
        <v>0.26</v>
      </c>
      <c r="L95" s="10" t="n">
        <v>0</v>
      </c>
      <c r="M95" s="6" t="s">
        <v>278</v>
      </c>
      <c r="N95" s="7" t="n">
        <v>0.07</v>
      </c>
    </row>
    <row r="96" customFormat="false" ht="15" hidden="false" customHeight="false" outlineLevel="0" collapsed="false">
      <c r="A96" s="11" t="s">
        <v>25</v>
      </c>
      <c r="B96" s="11" t="s">
        <v>282</v>
      </c>
      <c r="C96" s="11" t="s">
        <v>280</v>
      </c>
      <c r="D96" s="15" t="s">
        <v>402</v>
      </c>
      <c r="E96" s="12" t="n">
        <v>0.924</v>
      </c>
      <c r="F96" s="30" t="n">
        <v>663</v>
      </c>
      <c r="G96" s="30" t="n">
        <v>613</v>
      </c>
      <c r="H96" s="15" t="n">
        <v>3</v>
      </c>
      <c r="I96" s="15" t="n">
        <v>0</v>
      </c>
      <c r="J96" s="15" t="n">
        <v>1</v>
      </c>
      <c r="K96" s="12" t="n">
        <v>0.216</v>
      </c>
      <c r="L96" s="15" t="n">
        <v>0</v>
      </c>
      <c r="M96" s="11" t="s">
        <v>278</v>
      </c>
      <c r="N96" s="12" t="n">
        <v>0.11</v>
      </c>
    </row>
    <row r="97" customFormat="false" ht="15" hidden="false" customHeight="false" outlineLevel="0" collapsed="false">
      <c r="A97" s="6" t="s">
        <v>15</v>
      </c>
      <c r="B97" s="6" t="s">
        <v>310</v>
      </c>
      <c r="C97" s="6" t="s">
        <v>276</v>
      </c>
      <c r="D97" s="10" t="s">
        <v>373</v>
      </c>
      <c r="E97" s="7" t="n">
        <v>1.003</v>
      </c>
      <c r="F97" s="28" t="n">
        <v>3314</v>
      </c>
      <c r="G97" s="28" t="n">
        <v>3323</v>
      </c>
      <c r="H97" s="10" t="n">
        <v>13</v>
      </c>
      <c r="I97" s="10" t="n">
        <v>4</v>
      </c>
      <c r="J97" s="10" t="n">
        <v>5</v>
      </c>
      <c r="K97" s="7" t="n">
        <v>0.864</v>
      </c>
      <c r="L97" s="10" t="n">
        <v>29</v>
      </c>
      <c r="M97" s="6" t="s">
        <v>331</v>
      </c>
      <c r="N97" s="7" t="n">
        <v>0.13</v>
      </c>
    </row>
    <row r="98" customFormat="false" ht="15" hidden="false" customHeight="false" outlineLevel="0" collapsed="false">
      <c r="A98" s="11" t="s">
        <v>15</v>
      </c>
      <c r="B98" s="11" t="s">
        <v>403</v>
      </c>
      <c r="C98" s="11" t="s">
        <v>276</v>
      </c>
      <c r="D98" s="15" t="s">
        <v>373</v>
      </c>
      <c r="E98" s="12" t="n">
        <v>0.428</v>
      </c>
      <c r="F98" s="30" t="n">
        <v>5820</v>
      </c>
      <c r="G98" s="30" t="n">
        <v>2489</v>
      </c>
      <c r="H98" s="15" t="n">
        <v>5</v>
      </c>
      <c r="I98" s="15" t="n">
        <v>0</v>
      </c>
      <c r="J98" s="15" t="n">
        <v>1</v>
      </c>
      <c r="K98" s="12" t="n">
        <v>0.78</v>
      </c>
      <c r="L98" s="15" t="n">
        <v>0</v>
      </c>
      <c r="M98" s="11" t="s">
        <v>331</v>
      </c>
      <c r="N98" s="12" t="n">
        <v>0.04</v>
      </c>
    </row>
    <row r="99" customFormat="false" ht="15" hidden="false" customHeight="false" outlineLevel="0" collapsed="false">
      <c r="A99" s="6" t="s">
        <v>15</v>
      </c>
      <c r="B99" s="6" t="s">
        <v>308</v>
      </c>
      <c r="C99" s="6" t="s">
        <v>276</v>
      </c>
      <c r="D99" s="10" t="s">
        <v>404</v>
      </c>
      <c r="E99" s="7" t="n">
        <v>1.235</v>
      </c>
      <c r="F99" s="28" t="n">
        <v>1715</v>
      </c>
      <c r="G99" s="28" t="n">
        <v>2117</v>
      </c>
      <c r="H99" s="10" t="n">
        <v>1</v>
      </c>
      <c r="I99" s="10" t="n">
        <v>0</v>
      </c>
      <c r="J99" s="10" t="n">
        <v>0</v>
      </c>
      <c r="K99" s="7" t="n">
        <v>0.054</v>
      </c>
      <c r="L99" s="10" t="n">
        <v>0</v>
      </c>
      <c r="M99" s="6" t="s">
        <v>278</v>
      </c>
      <c r="N99" s="7" t="n">
        <v>0.01</v>
      </c>
    </row>
    <row r="100" customFormat="false" ht="15" hidden="false" customHeight="false" outlineLevel="0" collapsed="false">
      <c r="A100" s="11" t="s">
        <v>15</v>
      </c>
      <c r="B100" s="11" t="s">
        <v>405</v>
      </c>
      <c r="C100" s="11" t="s">
        <v>276</v>
      </c>
      <c r="D100" s="15" t="s">
        <v>406</v>
      </c>
      <c r="E100" s="12" t="n">
        <v>0.748</v>
      </c>
      <c r="F100" s="30" t="n">
        <v>1441</v>
      </c>
      <c r="G100" s="30" t="n">
        <v>1077</v>
      </c>
      <c r="H100" s="15" t="n">
        <v>1</v>
      </c>
      <c r="I100" s="15" t="n">
        <v>0</v>
      </c>
      <c r="J100" s="15" t="n">
        <v>0</v>
      </c>
      <c r="K100" s="12" t="n">
        <v>0.089</v>
      </c>
      <c r="L100" s="15" t="n">
        <v>0</v>
      </c>
      <c r="M100" s="11" t="s">
        <v>278</v>
      </c>
      <c r="N100" s="12" t="n">
        <v>0.02</v>
      </c>
    </row>
    <row r="101" customFormat="false" ht="15" hidden="false" customHeight="false" outlineLevel="0" collapsed="false">
      <c r="A101" s="6" t="s">
        <v>15</v>
      </c>
      <c r="B101" s="6" t="s">
        <v>407</v>
      </c>
      <c r="C101" s="6" t="s">
        <v>280</v>
      </c>
      <c r="D101" s="10" t="s">
        <v>406</v>
      </c>
      <c r="E101" s="7" t="n">
        <v>1.555</v>
      </c>
      <c r="F101" s="28" t="n">
        <v>2136</v>
      </c>
      <c r="G101" s="28" t="n">
        <v>3321</v>
      </c>
      <c r="H101" s="10" t="n">
        <v>16</v>
      </c>
      <c r="I101" s="10" t="n">
        <v>4</v>
      </c>
      <c r="J101" s="10" t="n">
        <v>7</v>
      </c>
      <c r="K101" s="7" t="n">
        <v>0.686</v>
      </c>
      <c r="L101" s="10" t="n">
        <v>2</v>
      </c>
      <c r="M101" s="6" t="s">
        <v>331</v>
      </c>
      <c r="N101" s="7" t="n">
        <v>0.11</v>
      </c>
    </row>
    <row r="102" customFormat="false" ht="15" hidden="false" customHeight="false" outlineLevel="0" collapsed="false">
      <c r="A102" s="11" t="s">
        <v>15</v>
      </c>
      <c r="B102" s="11" t="s">
        <v>408</v>
      </c>
      <c r="C102" s="11" t="s">
        <v>280</v>
      </c>
      <c r="D102" s="15" t="s">
        <v>409</v>
      </c>
      <c r="E102" s="12" t="n">
        <v>1.194</v>
      </c>
      <c r="F102" s="30" t="n">
        <v>2617</v>
      </c>
      <c r="G102" s="30" t="n">
        <v>3124</v>
      </c>
      <c r="H102" s="15" t="n">
        <v>3</v>
      </c>
      <c r="I102" s="15" t="n">
        <v>0</v>
      </c>
      <c r="J102" s="15" t="n">
        <v>1</v>
      </c>
      <c r="K102" s="12" t="n">
        <v>0.168</v>
      </c>
      <c r="L102" s="15" t="n">
        <v>9</v>
      </c>
      <c r="M102" s="11" t="s">
        <v>278</v>
      </c>
      <c r="N102" s="12" t="n">
        <v>0.03</v>
      </c>
    </row>
    <row r="103" customFormat="false" ht="15" hidden="false" customHeight="false" outlineLevel="0" collapsed="false">
      <c r="A103" s="6" t="s">
        <v>15</v>
      </c>
      <c r="B103" s="6" t="s">
        <v>410</v>
      </c>
      <c r="C103" s="6" t="s">
        <v>280</v>
      </c>
      <c r="D103" s="10" t="s">
        <v>411</v>
      </c>
      <c r="E103" s="7" t="n">
        <v>0.809</v>
      </c>
      <c r="F103" s="28" t="n">
        <v>1705</v>
      </c>
      <c r="G103" s="28" t="n">
        <v>1379</v>
      </c>
      <c r="H103" s="10" t="n">
        <v>3</v>
      </c>
      <c r="I103" s="10" t="n">
        <v>1</v>
      </c>
      <c r="J103" s="10" t="n">
        <v>2</v>
      </c>
      <c r="K103" s="7" t="n">
        <v>0.247</v>
      </c>
      <c r="L103" s="10" t="n">
        <v>4</v>
      </c>
      <c r="M103" s="6" t="s">
        <v>278</v>
      </c>
      <c r="N103" s="7" t="n">
        <v>0.06</v>
      </c>
    </row>
    <row r="104" customFormat="false" ht="15" hidden="false" customHeight="false" outlineLevel="0" collapsed="false">
      <c r="A104" s="11" t="s">
        <v>15</v>
      </c>
      <c r="B104" s="11" t="s">
        <v>412</v>
      </c>
      <c r="C104" s="11" t="s">
        <v>280</v>
      </c>
      <c r="D104" s="15" t="s">
        <v>409</v>
      </c>
      <c r="E104" s="12" t="n">
        <v>0.404</v>
      </c>
      <c r="F104" s="30" t="n">
        <v>2617</v>
      </c>
      <c r="G104" s="30" t="n">
        <v>1056</v>
      </c>
      <c r="H104" s="15" t="n">
        <v>7</v>
      </c>
      <c r="I104" s="15" t="n">
        <v>0</v>
      </c>
      <c r="J104" s="15" t="n">
        <v>1</v>
      </c>
      <c r="K104" s="12" t="n">
        <v>1.156</v>
      </c>
      <c r="L104" s="15" t="n">
        <v>0</v>
      </c>
      <c r="M104" s="11" t="s">
        <v>331</v>
      </c>
      <c r="N104" s="12" t="n">
        <v>0.14</v>
      </c>
    </row>
    <row r="105" customFormat="false" ht="15" hidden="false" customHeight="false" outlineLevel="0" collapsed="false">
      <c r="A105" s="6" t="s">
        <v>15</v>
      </c>
      <c r="B105" s="6" t="s">
        <v>282</v>
      </c>
      <c r="C105" s="6" t="s">
        <v>280</v>
      </c>
      <c r="D105" s="10" t="s">
        <v>413</v>
      </c>
      <c r="E105" s="7" t="n">
        <v>0.937</v>
      </c>
      <c r="F105" s="28" t="n">
        <v>541</v>
      </c>
      <c r="G105" s="28" t="n">
        <v>507</v>
      </c>
      <c r="H105" s="10" t="n">
        <v>4</v>
      </c>
      <c r="I105" s="10" t="n">
        <v>1</v>
      </c>
      <c r="J105" s="10" t="n">
        <v>2</v>
      </c>
      <c r="K105" s="7" t="n">
        <v>0.285</v>
      </c>
      <c r="L105" s="10" t="n">
        <v>0</v>
      </c>
      <c r="M105" s="6" t="s">
        <v>278</v>
      </c>
      <c r="N105" s="7" t="n">
        <v>0.17</v>
      </c>
    </row>
    <row r="106" customFormat="false" ht="15" hidden="false" customHeight="false" outlineLevel="0" collapsed="false">
      <c r="A106" s="11" t="s">
        <v>15</v>
      </c>
      <c r="B106" s="11" t="s">
        <v>414</v>
      </c>
      <c r="C106" s="11" t="s">
        <v>280</v>
      </c>
      <c r="D106" s="15" t="s">
        <v>415</v>
      </c>
      <c r="E106" s="12" t="n">
        <v>0.443</v>
      </c>
      <c r="F106" s="30" t="n">
        <v>428</v>
      </c>
      <c r="G106" s="30" t="n">
        <v>190</v>
      </c>
      <c r="H106" s="15" t="n">
        <v>0</v>
      </c>
      <c r="I106" s="15" t="n">
        <v>0</v>
      </c>
      <c r="J106" s="15" t="n">
        <v>0</v>
      </c>
      <c r="K106" s="12" t="n">
        <v>0</v>
      </c>
      <c r="L106" s="15" t="n">
        <v>0</v>
      </c>
      <c r="M106" s="11" t="s">
        <v>278</v>
      </c>
      <c r="N106" s="12" t="n">
        <v>0</v>
      </c>
    </row>
    <row r="107" customFormat="false" ht="15" hidden="false" customHeight="false" outlineLevel="0" collapsed="false">
      <c r="A107" s="6" t="s">
        <v>15</v>
      </c>
      <c r="B107" s="6" t="s">
        <v>416</v>
      </c>
      <c r="C107" s="6" t="s">
        <v>280</v>
      </c>
      <c r="D107" s="10" t="s">
        <v>328</v>
      </c>
      <c r="E107" s="7" t="n">
        <v>0.394</v>
      </c>
      <c r="F107" s="28" t="n">
        <v>421</v>
      </c>
      <c r="G107" s="28" t="n">
        <v>166</v>
      </c>
      <c r="H107" s="10" t="n">
        <v>2</v>
      </c>
      <c r="I107" s="10" t="n">
        <v>0</v>
      </c>
      <c r="J107" s="10" t="n">
        <v>0</v>
      </c>
      <c r="K107" s="7" t="n">
        <v>0.338</v>
      </c>
      <c r="L107" s="10" t="n">
        <v>0</v>
      </c>
      <c r="M107" s="6" t="s">
        <v>278</v>
      </c>
      <c r="N107" s="7" t="n">
        <v>0.26</v>
      </c>
    </row>
    <row r="108" customFormat="false" ht="15" hidden="false" customHeight="false" outlineLevel="0" collapsed="false">
      <c r="A108" s="11" t="s">
        <v>32</v>
      </c>
      <c r="B108" s="11" t="s">
        <v>286</v>
      </c>
      <c r="C108" s="11" t="s">
        <v>276</v>
      </c>
      <c r="D108" s="15" t="s">
        <v>289</v>
      </c>
      <c r="E108" s="12" t="n">
        <v>0.684</v>
      </c>
      <c r="F108" s="30" t="n">
        <v>5892</v>
      </c>
      <c r="G108" s="30" t="n">
        <v>4029</v>
      </c>
      <c r="H108" s="15" t="n">
        <v>5</v>
      </c>
      <c r="I108" s="15" t="n">
        <v>1</v>
      </c>
      <c r="J108" s="15" t="n">
        <v>0</v>
      </c>
      <c r="K108" s="12" t="n">
        <v>0.487</v>
      </c>
      <c r="L108" s="15" t="n">
        <v>0</v>
      </c>
      <c r="M108" s="11" t="s">
        <v>278</v>
      </c>
      <c r="N108" s="12" t="n">
        <v>0.03</v>
      </c>
    </row>
    <row r="109" customFormat="false" ht="15" hidden="false" customHeight="false" outlineLevel="0" collapsed="false">
      <c r="A109" s="6" t="s">
        <v>32</v>
      </c>
      <c r="B109" s="6" t="s">
        <v>417</v>
      </c>
      <c r="C109" s="6" t="s">
        <v>280</v>
      </c>
      <c r="D109" s="10" t="s">
        <v>418</v>
      </c>
      <c r="E109" s="7" t="n">
        <v>0.512</v>
      </c>
      <c r="F109" s="28" t="n">
        <v>928</v>
      </c>
      <c r="G109" s="28" t="n">
        <v>475</v>
      </c>
      <c r="H109" s="10" t="n">
        <v>1</v>
      </c>
      <c r="I109" s="10" t="n">
        <v>0</v>
      </c>
      <c r="J109" s="10" t="n">
        <v>1</v>
      </c>
      <c r="K109" s="7" t="n">
        <v>0.13</v>
      </c>
      <c r="L109" s="10" t="n">
        <v>0</v>
      </c>
      <c r="M109" s="6" t="s">
        <v>278</v>
      </c>
      <c r="N109" s="7" t="n">
        <v>0.05</v>
      </c>
    </row>
    <row r="110" customFormat="false" ht="15" hidden="false" customHeight="false" outlineLevel="0" collapsed="false">
      <c r="A110" s="11" t="s">
        <v>18</v>
      </c>
      <c r="B110" s="11" t="s">
        <v>419</v>
      </c>
      <c r="C110" s="11" t="s">
        <v>276</v>
      </c>
      <c r="D110" s="15" t="s">
        <v>420</v>
      </c>
      <c r="E110" s="12" t="n">
        <v>0.95</v>
      </c>
      <c r="F110" s="30" t="n">
        <v>3347</v>
      </c>
      <c r="G110" s="30" t="n">
        <v>3178</v>
      </c>
      <c r="H110" s="15" t="n">
        <v>5</v>
      </c>
      <c r="I110" s="15" t="n">
        <v>1</v>
      </c>
      <c r="J110" s="15" t="n">
        <v>0</v>
      </c>
      <c r="K110" s="12" t="n">
        <v>0.351</v>
      </c>
      <c r="L110" s="15" t="n">
        <v>1</v>
      </c>
      <c r="M110" s="11" t="s">
        <v>278</v>
      </c>
      <c r="N110" s="12" t="n">
        <v>0.04</v>
      </c>
    </row>
    <row r="111" customFormat="false" ht="15" hidden="false" customHeight="false" outlineLevel="0" collapsed="false">
      <c r="A111" s="6" t="s">
        <v>18</v>
      </c>
      <c r="B111" s="6" t="s">
        <v>288</v>
      </c>
      <c r="C111" s="6" t="s">
        <v>276</v>
      </c>
      <c r="D111" s="10" t="s">
        <v>289</v>
      </c>
      <c r="E111" s="7" t="n">
        <v>0.426</v>
      </c>
      <c r="F111" s="28" t="n">
        <v>5919</v>
      </c>
      <c r="G111" s="28" t="n">
        <v>2520</v>
      </c>
      <c r="H111" s="10" t="n">
        <v>2</v>
      </c>
      <c r="I111" s="10" t="n">
        <v>0</v>
      </c>
      <c r="J111" s="10" t="n">
        <v>1</v>
      </c>
      <c r="K111" s="7" t="n">
        <v>0.313</v>
      </c>
      <c r="L111" s="10" t="n">
        <v>4</v>
      </c>
      <c r="M111" s="6" t="s">
        <v>278</v>
      </c>
      <c r="N111" s="7" t="n">
        <v>0.02</v>
      </c>
    </row>
    <row r="112" customFormat="false" ht="15" hidden="false" customHeight="false" outlineLevel="0" collapsed="false">
      <c r="A112" s="11" t="s">
        <v>18</v>
      </c>
      <c r="B112" s="11" t="s">
        <v>310</v>
      </c>
      <c r="C112" s="11" t="s">
        <v>276</v>
      </c>
      <c r="D112" s="15" t="s">
        <v>421</v>
      </c>
      <c r="E112" s="12" t="n">
        <v>0.831</v>
      </c>
      <c r="F112" s="30" t="n">
        <v>2696</v>
      </c>
      <c r="G112" s="30" t="n">
        <v>2241</v>
      </c>
      <c r="H112" s="15" t="n">
        <v>1</v>
      </c>
      <c r="I112" s="15" t="n">
        <v>0</v>
      </c>
      <c r="J112" s="15" t="n">
        <v>0</v>
      </c>
      <c r="K112" s="12" t="n">
        <v>0.08</v>
      </c>
      <c r="L112" s="15" t="n">
        <v>0</v>
      </c>
      <c r="M112" s="11" t="s">
        <v>278</v>
      </c>
      <c r="N112" s="12" t="n">
        <v>0.01</v>
      </c>
    </row>
    <row r="113" customFormat="false" ht="15" hidden="false" customHeight="false" outlineLevel="0" collapsed="false">
      <c r="A113" s="6" t="s">
        <v>18</v>
      </c>
      <c r="B113" s="6" t="s">
        <v>422</v>
      </c>
      <c r="C113" s="6" t="s">
        <v>276</v>
      </c>
      <c r="D113" s="10" t="s">
        <v>420</v>
      </c>
      <c r="E113" s="7" t="n">
        <v>0.207</v>
      </c>
      <c r="F113" s="28" t="n">
        <v>2759</v>
      </c>
      <c r="G113" s="28" t="n">
        <v>572</v>
      </c>
      <c r="H113" s="10" t="n">
        <v>2</v>
      </c>
      <c r="I113" s="10" t="n">
        <v>0</v>
      </c>
      <c r="J113" s="10" t="n">
        <v>2</v>
      </c>
      <c r="K113" s="7" t="n">
        <v>0.643</v>
      </c>
      <c r="L113" s="10" t="n">
        <v>2</v>
      </c>
      <c r="M113" s="6" t="s">
        <v>331</v>
      </c>
      <c r="N113" s="7" t="n">
        <v>0.09</v>
      </c>
    </row>
    <row r="114" customFormat="false" ht="15" hidden="false" customHeight="false" outlineLevel="0" collapsed="false">
      <c r="A114" s="11" t="s">
        <v>18</v>
      </c>
      <c r="B114" s="11" t="s">
        <v>286</v>
      </c>
      <c r="C114" s="11" t="s">
        <v>276</v>
      </c>
      <c r="D114" s="15" t="s">
        <v>420</v>
      </c>
      <c r="E114" s="12" t="n">
        <v>0.261</v>
      </c>
      <c r="F114" s="30" t="n">
        <v>1492</v>
      </c>
      <c r="G114" s="30" t="n">
        <v>389</v>
      </c>
      <c r="H114" s="15" t="n">
        <v>0</v>
      </c>
      <c r="I114" s="15" t="n">
        <v>0</v>
      </c>
      <c r="J114" s="15" t="n">
        <v>0</v>
      </c>
      <c r="K114" s="12" t="n">
        <v>0</v>
      </c>
      <c r="L114" s="15" t="n">
        <v>0</v>
      </c>
      <c r="M114" s="11" t="s">
        <v>278</v>
      </c>
      <c r="N114" s="12" t="n">
        <v>0</v>
      </c>
    </row>
    <row r="115" customFormat="false" ht="15" hidden="false" customHeight="false" outlineLevel="0" collapsed="false">
      <c r="A115" s="6" t="s">
        <v>18</v>
      </c>
      <c r="B115" s="6" t="s">
        <v>282</v>
      </c>
      <c r="C115" s="6" t="s">
        <v>280</v>
      </c>
      <c r="D115" s="10" t="s">
        <v>423</v>
      </c>
      <c r="E115" s="7" t="n">
        <v>0.893</v>
      </c>
      <c r="F115" s="28" t="n">
        <v>758</v>
      </c>
      <c r="G115" s="28" t="n">
        <v>677</v>
      </c>
      <c r="H115" s="10" t="n">
        <v>4</v>
      </c>
      <c r="I115" s="10" t="n">
        <v>0</v>
      </c>
      <c r="J115" s="10" t="n">
        <v>0</v>
      </c>
      <c r="K115" s="7" t="n">
        <v>0.298</v>
      </c>
      <c r="L115" s="10" t="n">
        <v>0</v>
      </c>
      <c r="M115" s="6" t="s">
        <v>278</v>
      </c>
      <c r="N115" s="7" t="n">
        <v>0.13</v>
      </c>
    </row>
    <row r="117" customFormat="false" ht="15" hidden="false" customHeight="false" outlineLevel="0" collapsed="false">
      <c r="A117" s="21" t="s">
        <v>424</v>
      </c>
      <c r="B117" s="21"/>
      <c r="C117" s="21"/>
      <c r="D117" s="21"/>
      <c r="E117" s="21"/>
      <c r="F117" s="21"/>
      <c r="G117" s="21"/>
      <c r="H117" s="21"/>
      <c r="I117" s="21"/>
      <c r="J117" s="21"/>
      <c r="K117" s="21"/>
      <c r="L117" s="21"/>
      <c r="M117" s="21"/>
      <c r="N117" s="21"/>
    </row>
    <row r="118" customFormat="false" ht="15" hidden="false" customHeight="false" outlineLevel="0" collapsed="false">
      <c r="A118" s="21" t="s">
        <v>425</v>
      </c>
      <c r="B118" s="21"/>
      <c r="C118" s="21"/>
      <c r="D118" s="21"/>
      <c r="E118" s="21"/>
      <c r="F118" s="21"/>
      <c r="G118" s="21"/>
      <c r="H118" s="21"/>
      <c r="I118" s="21"/>
      <c r="J118" s="21"/>
      <c r="K118" s="21"/>
      <c r="L118" s="21"/>
      <c r="M118" s="21"/>
      <c r="N118" s="21"/>
    </row>
  </sheetData>
  <mergeCells count="4">
    <mergeCell ref="A1:M1"/>
    <mergeCell ref="A2:M2"/>
    <mergeCell ref="A117:N117"/>
    <mergeCell ref="A118:N1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7"/>
    <col collapsed="false" customWidth="true" hidden="false" outlineLevel="0" max="8" min="4" style="0" width="14"/>
  </cols>
  <sheetData>
    <row r="1" customFormat="false" ht="16.15" hidden="false" customHeight="false" outlineLevel="0" collapsed="false">
      <c r="A1" s="1" t="s">
        <v>426</v>
      </c>
      <c r="B1" s="1"/>
      <c r="C1" s="1"/>
      <c r="D1" s="1"/>
      <c r="E1" s="1"/>
      <c r="F1" s="1"/>
      <c r="G1" s="1"/>
      <c r="H1" s="1"/>
    </row>
    <row r="2" customFormat="false" ht="42" hidden="false" customHeight="true" outlineLevel="0" collapsed="false">
      <c r="A2" s="2" t="s">
        <v>427</v>
      </c>
      <c r="B2" s="2"/>
      <c r="C2" s="2"/>
      <c r="D2" s="2"/>
      <c r="E2" s="2"/>
      <c r="F2" s="2"/>
      <c r="G2" s="2"/>
      <c r="H2" s="2"/>
    </row>
    <row r="4" customFormat="false" ht="39.75" hidden="false" customHeight="true" outlineLevel="0" collapsed="false">
      <c r="A4" s="5" t="s">
        <v>3</v>
      </c>
      <c r="B4" s="5" t="s">
        <v>428</v>
      </c>
      <c r="C4" s="5" t="s">
        <v>267</v>
      </c>
      <c r="D4" s="5" t="s">
        <v>73</v>
      </c>
      <c r="E4" s="5" t="s">
        <v>429</v>
      </c>
      <c r="F4" s="5" t="s">
        <v>430</v>
      </c>
      <c r="G4" s="5" t="s">
        <v>431</v>
      </c>
      <c r="H4" s="5" t="s">
        <v>432</v>
      </c>
    </row>
    <row r="5" customFormat="false" ht="15" hidden="false" customHeight="false" outlineLevel="0" collapsed="false">
      <c r="A5" s="6" t="s">
        <v>34</v>
      </c>
      <c r="B5" s="10" t="n">
        <v>2</v>
      </c>
      <c r="C5" s="8" t="n">
        <v>0.7</v>
      </c>
      <c r="D5" s="28" t="n">
        <v>408065</v>
      </c>
      <c r="E5" s="28" t="n">
        <v>16713</v>
      </c>
      <c r="F5" s="28" t="n">
        <v>39690</v>
      </c>
      <c r="G5" s="28" t="n">
        <v>56403</v>
      </c>
      <c r="H5" s="49" t="n">
        <v>0.138</v>
      </c>
    </row>
    <row r="6" customFormat="false" ht="15" hidden="false" customHeight="false" outlineLevel="0" collapsed="false">
      <c r="A6" s="11" t="s">
        <v>14</v>
      </c>
      <c r="B6" s="15" t="n">
        <v>14</v>
      </c>
      <c r="C6" s="13" t="n">
        <v>14.7</v>
      </c>
      <c r="D6" s="30" t="n">
        <v>9938255</v>
      </c>
      <c r="E6" s="30" t="n">
        <v>831936</v>
      </c>
      <c r="F6" s="30" t="n">
        <v>246240</v>
      </c>
      <c r="G6" s="30" t="n">
        <v>1078176</v>
      </c>
      <c r="H6" s="50" t="n">
        <v>0.108</v>
      </c>
    </row>
    <row r="7" customFormat="false" ht="15" hidden="false" customHeight="false" outlineLevel="0" collapsed="false">
      <c r="A7" s="6" t="s">
        <v>17</v>
      </c>
      <c r="B7" s="10" t="n">
        <v>7</v>
      </c>
      <c r="C7" s="8" t="n">
        <v>5.4</v>
      </c>
      <c r="D7" s="28" t="n">
        <v>2085828</v>
      </c>
      <c r="E7" s="28" t="n">
        <v>152274</v>
      </c>
      <c r="F7" s="28" t="n">
        <v>66420</v>
      </c>
      <c r="G7" s="28" t="n">
        <v>218694</v>
      </c>
      <c r="H7" s="49" t="n">
        <v>0.105</v>
      </c>
    </row>
    <row r="8" customFormat="false" ht="15" hidden="false" customHeight="false" outlineLevel="0" collapsed="false">
      <c r="A8" s="11" t="s">
        <v>16</v>
      </c>
      <c r="B8" s="15" t="n">
        <v>3</v>
      </c>
      <c r="C8" s="13" t="n">
        <v>4.3</v>
      </c>
      <c r="D8" s="30" t="n">
        <v>4340311</v>
      </c>
      <c r="E8" s="30" t="n">
        <v>330546</v>
      </c>
      <c r="F8" s="30" t="n">
        <v>52650</v>
      </c>
      <c r="G8" s="30" t="n">
        <v>383196</v>
      </c>
      <c r="H8" s="50" t="n">
        <v>0.088</v>
      </c>
    </row>
    <row r="9" customFormat="false" ht="15" hidden="false" customHeight="false" outlineLevel="0" collapsed="false">
      <c r="A9" s="6" t="s">
        <v>15</v>
      </c>
      <c r="B9" s="10" t="n">
        <v>4</v>
      </c>
      <c r="C9" s="8" t="n">
        <v>3.4</v>
      </c>
      <c r="D9" s="28" t="n">
        <v>776142</v>
      </c>
      <c r="E9" s="28" t="n">
        <v>37140</v>
      </c>
      <c r="F9" s="28" t="n">
        <v>11745</v>
      </c>
      <c r="G9" s="28" t="n">
        <v>48885</v>
      </c>
      <c r="H9" s="49" t="n">
        <v>0.063</v>
      </c>
    </row>
    <row r="10" customFormat="false" ht="15" hidden="false" customHeight="false" outlineLevel="0" collapsed="false">
      <c r="A10" s="11" t="s">
        <v>21</v>
      </c>
      <c r="B10" s="15" t="n">
        <v>3</v>
      </c>
      <c r="C10" s="13" t="n">
        <v>1.8</v>
      </c>
      <c r="D10" s="30" t="n">
        <v>420992</v>
      </c>
      <c r="E10" s="30" t="n">
        <v>16713</v>
      </c>
      <c r="F10" s="30" t="n">
        <v>7695</v>
      </c>
      <c r="G10" s="30" t="n">
        <v>24408</v>
      </c>
      <c r="H10" s="50" t="n">
        <v>0.058</v>
      </c>
    </row>
    <row r="11" customFormat="false" ht="15" hidden="false" customHeight="false" outlineLevel="0" collapsed="false">
      <c r="A11" s="6" t="s">
        <v>19</v>
      </c>
      <c r="B11" s="10" t="n">
        <v>2</v>
      </c>
      <c r="C11" s="8" t="n">
        <v>1.3</v>
      </c>
      <c r="D11" s="28" t="n">
        <v>315852</v>
      </c>
      <c r="E11" s="28" t="n">
        <v>16713</v>
      </c>
      <c r="F11" s="28" t="n">
        <v>405</v>
      </c>
      <c r="G11" s="28" t="n">
        <v>17118</v>
      </c>
      <c r="H11" s="49" t="n">
        <v>0.054</v>
      </c>
    </row>
    <row r="12" customFormat="false" ht="15" hidden="false" customHeight="false" outlineLevel="0" collapsed="false">
      <c r="A12" s="11" t="s">
        <v>22</v>
      </c>
      <c r="B12" s="15" t="n">
        <v>5</v>
      </c>
      <c r="C12" s="13" t="n">
        <v>2.5</v>
      </c>
      <c r="D12" s="30" t="n">
        <v>990301</v>
      </c>
      <c r="E12" s="30" t="n">
        <v>40854</v>
      </c>
      <c r="F12" s="30" t="n">
        <v>10530</v>
      </c>
      <c r="G12" s="30" t="n">
        <v>51384</v>
      </c>
      <c r="H12" s="50" t="n">
        <v>0.052</v>
      </c>
    </row>
    <row r="13" customFormat="false" ht="15" hidden="false" customHeight="false" outlineLevel="0" collapsed="false">
      <c r="A13" s="6" t="s">
        <v>20</v>
      </c>
      <c r="B13" s="10" t="n">
        <v>5</v>
      </c>
      <c r="C13" s="8" t="n">
        <v>1.9</v>
      </c>
      <c r="D13" s="28" t="n">
        <v>865425</v>
      </c>
      <c r="E13" s="28" t="n">
        <v>33426</v>
      </c>
      <c r="F13" s="28" t="n">
        <v>5670</v>
      </c>
      <c r="G13" s="28" t="n">
        <v>39096</v>
      </c>
      <c r="H13" s="49" t="n">
        <v>0.045</v>
      </c>
    </row>
    <row r="14" customFormat="false" ht="15" hidden="false" customHeight="false" outlineLevel="0" collapsed="false">
      <c r="A14" s="11" t="s">
        <v>26</v>
      </c>
      <c r="B14" s="15" t="n">
        <v>2</v>
      </c>
      <c r="C14" s="13" t="n">
        <v>0.8</v>
      </c>
      <c r="D14" s="30" t="n">
        <v>198129</v>
      </c>
      <c r="E14" s="30" t="n">
        <v>5571</v>
      </c>
      <c r="F14" s="30" t="n">
        <v>1215</v>
      </c>
      <c r="G14" s="30" t="n">
        <v>6786</v>
      </c>
      <c r="H14" s="50" t="n">
        <v>0.034</v>
      </c>
    </row>
    <row r="15" customFormat="false" ht="15" hidden="false" customHeight="false" outlineLevel="0" collapsed="false">
      <c r="A15" s="6" t="s">
        <v>18</v>
      </c>
      <c r="B15" s="10" t="n">
        <v>5</v>
      </c>
      <c r="C15" s="8" t="n">
        <v>2.7</v>
      </c>
      <c r="D15" s="28" t="n">
        <v>767007</v>
      </c>
      <c r="E15" s="28" t="n">
        <v>18570</v>
      </c>
      <c r="F15" s="28" t="n">
        <v>2835</v>
      </c>
      <c r="G15" s="28" t="n">
        <v>21405</v>
      </c>
      <c r="H15" s="49" t="n">
        <v>0.028</v>
      </c>
    </row>
    <row r="17" customFormat="false" ht="39.75" hidden="false" customHeight="true" outlineLevel="0" collapsed="false">
      <c r="A17" s="21" t="s">
        <v>433</v>
      </c>
      <c r="B17" s="21"/>
      <c r="C17" s="21"/>
      <c r="D17" s="21"/>
      <c r="E17" s="21"/>
      <c r="F17" s="21"/>
      <c r="G17" s="21"/>
      <c r="H17" s="21"/>
    </row>
  </sheetData>
  <mergeCells count="3">
    <mergeCell ref="A1:H1"/>
    <mergeCell ref="A2:H2"/>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2026-07-24T17:29:36Z</dcterms:created>
  <dc:creator>openpyxl</dc:creator>
  <dc:description/>
  <dc:language>en-US</dc:language>
  <cp:lastModifiedBy/>
  <dcterms:modified xsi:type="dcterms:W3CDTF">2026-07-24T17:29:37Z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